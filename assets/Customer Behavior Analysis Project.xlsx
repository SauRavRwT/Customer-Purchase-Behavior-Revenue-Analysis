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Code\DA\assets\"/>
    </mc:Choice>
  </mc:AlternateContent>
  <bookViews>
    <workbookView xWindow="0" yWindow="0" windowWidth="21570" windowHeight="8535"/>
  </bookViews>
  <sheets>
    <sheet name="bike_buyers" sheetId="1" r:id="rId1"/>
  </sheets>
  <definedNames>
    <definedName name="_xlnm._FilterDatabase" localSheetId="0" hidden="1">bike_buyers!$A$1:$P$1001</definedName>
  </definedNames>
  <calcPr calcId="162913"/>
</workbook>
</file>

<file path=xl/calcChain.xml><?xml version="1.0" encoding="utf-8"?>
<calcChain xmlns="http://schemas.openxmlformats.org/spreadsheetml/2006/main">
  <c r="O29" i="1" l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E456" i="1"/>
  <c r="E490" i="1"/>
  <c r="E887" i="1"/>
  <c r="E428" i="1"/>
  <c r="E258" i="1"/>
  <c r="E702" i="1"/>
  <c r="E170" i="1"/>
  <c r="E491" i="1"/>
  <c r="E855" i="1"/>
  <c r="E386" i="1"/>
  <c r="E797" i="1"/>
  <c r="E259" i="1"/>
  <c r="E813" i="1"/>
  <c r="E222" i="1"/>
  <c r="E553" i="1"/>
  <c r="E327" i="1"/>
  <c r="E867" i="1"/>
  <c r="E611" i="1"/>
  <c r="E223" i="1"/>
  <c r="E814" i="1"/>
  <c r="E260" i="1"/>
  <c r="E224" i="1"/>
  <c r="E225" i="1"/>
  <c r="E831" i="1"/>
  <c r="E191" i="1"/>
  <c r="E924" i="1"/>
  <c r="E69" i="1"/>
  <c r="E387" i="1"/>
  <c r="E526" i="1"/>
  <c r="E137" i="1"/>
  <c r="E925" i="1"/>
  <c r="E8" i="1"/>
  <c r="E112" i="1"/>
  <c r="E703" i="1"/>
  <c r="E911" i="1"/>
  <c r="E429" i="1"/>
  <c r="E704" i="1"/>
  <c r="E85" i="1"/>
  <c r="E47" i="1"/>
  <c r="E388" i="1"/>
  <c r="E492" i="1"/>
  <c r="E943" i="1"/>
  <c r="E389" i="1"/>
  <c r="E650" i="1"/>
  <c r="E430" i="1"/>
  <c r="E952" i="1"/>
  <c r="E584" i="1"/>
  <c r="E748" i="1"/>
  <c r="E457" i="1"/>
  <c r="E364" i="1"/>
  <c r="E48" i="1"/>
  <c r="E226" i="1"/>
  <c r="E944" i="1"/>
  <c r="E832" i="1"/>
  <c r="E458" i="1"/>
  <c r="E798" i="1"/>
  <c r="E328" i="1"/>
  <c r="E902" i="1"/>
  <c r="E493" i="1"/>
  <c r="E329" i="1"/>
  <c r="E554" i="1"/>
  <c r="E227" i="1"/>
  <c r="E749" i="1"/>
  <c r="E431" i="1"/>
  <c r="E295" i="1"/>
  <c r="E976" i="1"/>
  <c r="E296" i="1"/>
  <c r="E171" i="1"/>
  <c r="E494" i="1"/>
  <c r="E86" i="1"/>
  <c r="E261" i="1"/>
  <c r="E228" i="1"/>
  <c r="E750" i="1"/>
  <c r="E262" i="1"/>
  <c r="E912" i="1"/>
  <c r="E113" i="1"/>
  <c r="E9" i="1"/>
  <c r="E70" i="1"/>
  <c r="E705" i="1"/>
  <c r="E926" i="1"/>
  <c r="E555" i="1"/>
  <c r="E390" i="1"/>
  <c r="E612" i="1"/>
  <c r="E71" i="1"/>
  <c r="E751" i="1"/>
  <c r="E10" i="1"/>
  <c r="E726" i="1"/>
  <c r="E391" i="1"/>
  <c r="E72" i="1"/>
  <c r="E392" i="1"/>
  <c r="E73" i="1"/>
  <c r="E87" i="1"/>
  <c r="E297" i="1"/>
  <c r="E172" i="1"/>
  <c r="E815" i="1"/>
  <c r="E913" i="1"/>
  <c r="E495" i="1"/>
  <c r="E527" i="1"/>
  <c r="E2" i="1"/>
  <c r="E496" i="1"/>
  <c r="E229" i="1"/>
  <c r="E497" i="1"/>
  <c r="E679" i="1"/>
  <c r="E556" i="1"/>
  <c r="E680" i="1"/>
  <c r="E88" i="1"/>
  <c r="E752" i="1"/>
  <c r="E773" i="1"/>
  <c r="E330" i="1"/>
  <c r="E365" i="1"/>
  <c r="E585" i="1"/>
  <c r="E331" i="1"/>
  <c r="E230" i="1"/>
  <c r="E263" i="1"/>
  <c r="E11" i="1"/>
  <c r="E89" i="1"/>
  <c r="E459" i="1"/>
  <c r="E393" i="1"/>
  <c r="E914" i="1"/>
  <c r="E74" i="1"/>
  <c r="E953" i="1"/>
  <c r="E651" i="1"/>
  <c r="E114" i="1"/>
  <c r="E833" i="1"/>
  <c r="E332" i="1"/>
  <c r="E394" i="1"/>
  <c r="E138" i="1"/>
  <c r="E366" i="1"/>
  <c r="E753" i="1"/>
  <c r="E367" i="1"/>
  <c r="E298" i="1"/>
  <c r="E834" i="1"/>
  <c r="E395" i="1"/>
  <c r="E945" i="1"/>
  <c r="E460" i="1"/>
  <c r="E754" i="1"/>
  <c r="E231" i="1"/>
  <c r="E461" i="1"/>
  <c r="E816" i="1"/>
  <c r="E888" i="1"/>
  <c r="E396" i="1"/>
  <c r="E12" i="1"/>
  <c r="E462" i="1"/>
  <c r="E139" i="1"/>
  <c r="E299" i="1"/>
  <c r="E192" i="1"/>
  <c r="E300" i="1"/>
  <c r="E397" i="1"/>
  <c r="E889" i="1"/>
  <c r="E24" i="1"/>
  <c r="E498" i="1"/>
  <c r="E652" i="1"/>
  <c r="E140" i="1"/>
  <c r="E613" i="1"/>
  <c r="E398" i="1"/>
  <c r="E432" i="1"/>
  <c r="E868" i="1"/>
  <c r="E706" i="1"/>
  <c r="E799" i="1"/>
  <c r="E653" i="1"/>
  <c r="E528" i="1"/>
  <c r="E399" i="1"/>
  <c r="E333" i="1"/>
  <c r="E755" i="1"/>
  <c r="E3" i="1"/>
  <c r="E4" i="1"/>
  <c r="E614" i="1"/>
  <c r="E232" i="1"/>
  <c r="E433" i="1"/>
  <c r="E615" i="1"/>
  <c r="E903" i="1"/>
  <c r="E904" i="1"/>
  <c r="E173" i="1"/>
  <c r="E25" i="1"/>
  <c r="E301" i="1"/>
  <c r="E756" i="1"/>
  <c r="E75" i="1"/>
  <c r="E654" i="1"/>
  <c r="E817" i="1"/>
  <c r="E302" i="1"/>
  <c r="E529" i="1"/>
  <c r="E818" i="1"/>
  <c r="E334" i="1"/>
  <c r="E954" i="1"/>
  <c r="E856" i="1"/>
  <c r="E616" i="1"/>
  <c r="E835" i="1"/>
  <c r="E869" i="1"/>
  <c r="E141" i="1"/>
  <c r="E530" i="1"/>
  <c r="E819" i="1"/>
  <c r="E264" i="1"/>
  <c r="E915" i="1"/>
  <c r="E434" i="1"/>
  <c r="E142" i="1"/>
  <c r="E5" i="1"/>
  <c r="E265" i="1"/>
  <c r="E966" i="1"/>
  <c r="E368" i="1"/>
  <c r="E174" i="1"/>
  <c r="E115" i="1"/>
  <c r="E26" i="1"/>
  <c r="E175" i="1"/>
  <c r="E586" i="1"/>
  <c r="E727" i="1"/>
  <c r="E587" i="1"/>
  <c r="E916" i="1"/>
  <c r="E13" i="1"/>
  <c r="E303" i="1"/>
  <c r="E463" i="1"/>
  <c r="E266" i="1"/>
  <c r="E267" i="1"/>
  <c r="E90" i="1"/>
  <c r="E116" i="1"/>
  <c r="E946" i="1"/>
  <c r="E800" i="1"/>
  <c r="E801" i="1"/>
  <c r="E6" i="1"/>
  <c r="E655" i="1"/>
  <c r="E14" i="1"/>
  <c r="E499" i="1"/>
  <c r="E233" i="1"/>
  <c r="E464" i="1"/>
  <c r="E369" i="1"/>
  <c r="E967" i="1"/>
  <c r="E234" i="1"/>
  <c r="E465" i="1"/>
  <c r="E500" i="1"/>
  <c r="E557" i="1"/>
  <c r="E847" i="1"/>
  <c r="E836" i="1"/>
  <c r="E335" i="1"/>
  <c r="E558" i="1"/>
  <c r="E27" i="1"/>
  <c r="E235" i="1"/>
  <c r="E987" i="1"/>
  <c r="E531" i="1"/>
  <c r="E15" i="1"/>
  <c r="E588" i="1"/>
  <c r="E193" i="1"/>
  <c r="E304" i="1"/>
  <c r="E28" i="1"/>
  <c r="E370" i="1"/>
  <c r="E76" i="1"/>
  <c r="E757" i="1"/>
  <c r="E656" i="1"/>
  <c r="E728" i="1"/>
  <c r="E194" i="1"/>
  <c r="E917" i="1"/>
  <c r="E305" i="1"/>
  <c r="E998" i="1"/>
  <c r="E820" i="1"/>
  <c r="E117" i="1"/>
  <c r="E870" i="1"/>
  <c r="E848" i="1"/>
  <c r="E617" i="1"/>
  <c r="E501" i="1"/>
  <c r="E268" i="1"/>
  <c r="E837" i="1"/>
  <c r="E306" i="1"/>
  <c r="E502" i="1"/>
  <c r="E176" i="1"/>
  <c r="E729" i="1"/>
  <c r="E371" i="1"/>
  <c r="E307" i="1"/>
  <c r="E466" i="1"/>
  <c r="E29" i="1"/>
  <c r="E618" i="1"/>
  <c r="E559" i="1"/>
  <c r="E308" i="1"/>
  <c r="E730" i="1"/>
  <c r="E49" i="1"/>
  <c r="E400" i="1"/>
  <c r="E91" i="1"/>
  <c r="E269" i="1"/>
  <c r="E309" i="1"/>
  <c r="E681" i="1"/>
  <c r="E310" i="1"/>
  <c r="E236" i="1"/>
  <c r="E336" i="1"/>
  <c r="E503" i="1"/>
  <c r="E311" i="1"/>
  <c r="E195" i="1"/>
  <c r="E589" i="1"/>
  <c r="E682" i="1"/>
  <c r="E560" i="1"/>
  <c r="E657" i="1"/>
  <c r="E590" i="1"/>
  <c r="E658" i="1"/>
  <c r="E802" i="1"/>
  <c r="E591" i="1"/>
  <c r="E337" i="1"/>
  <c r="E467" i="1"/>
  <c r="E592" i="1"/>
  <c r="E270" i="1"/>
  <c r="E143" i="1"/>
  <c r="E372" i="1"/>
  <c r="E271" i="1"/>
  <c r="E803" i="1"/>
  <c r="E979" i="1"/>
  <c r="E918" i="1"/>
  <c r="E50" i="1"/>
  <c r="E919" i="1"/>
  <c r="E401" i="1"/>
  <c r="E272" i="1"/>
  <c r="E857" i="1"/>
  <c r="E402" i="1"/>
  <c r="E955" i="1"/>
  <c r="E237" i="1"/>
  <c r="E619" i="1"/>
  <c r="E620" i="1"/>
  <c r="E593" i="1"/>
  <c r="E858" i="1"/>
  <c r="E758" i="1"/>
  <c r="E621" i="1"/>
  <c r="E435" i="1"/>
  <c r="E933" i="1"/>
  <c r="E238" i="1"/>
  <c r="E804" i="1"/>
  <c r="E561" i="1"/>
  <c r="E403" i="1"/>
  <c r="E622" i="1"/>
  <c r="E436" i="1"/>
  <c r="E312" i="1"/>
  <c r="E338" i="1"/>
  <c r="E273" i="1"/>
  <c r="E16" i="1"/>
  <c r="E404" i="1"/>
  <c r="E274" i="1"/>
  <c r="E871" i="1"/>
  <c r="E144" i="1"/>
  <c r="E92" i="1"/>
  <c r="E239" i="1"/>
  <c r="E731" i="1"/>
  <c r="E623" i="1"/>
  <c r="E373" i="1"/>
  <c r="E196" i="1"/>
  <c r="E145" i="1"/>
  <c r="E707" i="1"/>
  <c r="E956" i="1"/>
  <c r="E93" i="1"/>
  <c r="E146" i="1"/>
  <c r="E240" i="1"/>
  <c r="E147" i="1"/>
  <c r="E118" i="1"/>
  <c r="E708" i="1"/>
  <c r="E504" i="1"/>
  <c r="E562" i="1"/>
  <c r="E468" i="1"/>
  <c r="E77" i="1"/>
  <c r="E51" i="1"/>
  <c r="E313" i="1"/>
  <c r="E774" i="1"/>
  <c r="E339" i="1"/>
  <c r="E374" i="1"/>
  <c r="E148" i="1"/>
  <c r="E732" i="1"/>
  <c r="E177" i="1"/>
  <c r="E859" i="1"/>
  <c r="E94" i="1"/>
  <c r="E659" i="1"/>
  <c r="E30" i="1"/>
  <c r="E178" i="1"/>
  <c r="E957" i="1"/>
  <c r="E340" i="1"/>
  <c r="E341" i="1"/>
  <c r="E563" i="1"/>
  <c r="E709" i="1"/>
  <c r="E890" i="1"/>
  <c r="E775" i="1"/>
  <c r="E594" i="1"/>
  <c r="E710" i="1"/>
  <c r="E505" i="1"/>
  <c r="E95" i="1"/>
  <c r="E342" i="1"/>
  <c r="E1001" i="1"/>
  <c r="E934" i="1"/>
  <c r="E733" i="1"/>
  <c r="E838" i="1"/>
  <c r="E506" i="1"/>
  <c r="E96" i="1"/>
  <c r="E980" i="1"/>
  <c r="E776" i="1"/>
  <c r="E314" i="1"/>
  <c r="E52" i="1"/>
  <c r="E507" i="1"/>
  <c r="E197" i="1"/>
  <c r="E198" i="1"/>
  <c r="E935" i="1"/>
  <c r="E437" i="1"/>
  <c r="E343" i="1"/>
  <c r="E438" i="1"/>
  <c r="E734" i="1"/>
  <c r="E149" i="1"/>
  <c r="E344" i="1"/>
  <c r="E345" i="1"/>
  <c r="E346" i="1"/>
  <c r="E860" i="1"/>
  <c r="E375" i="1"/>
  <c r="E777" i="1"/>
  <c r="E778" i="1"/>
  <c r="E1000" i="1"/>
  <c r="E532" i="1"/>
  <c r="E533" i="1"/>
  <c r="E805" i="1"/>
  <c r="E315" i="1"/>
  <c r="E439" i="1"/>
  <c r="E275" i="1"/>
  <c r="E179" i="1"/>
  <c r="E759" i="1"/>
  <c r="E595" i="1"/>
  <c r="E508" i="1"/>
  <c r="E199" i="1"/>
  <c r="E968" i="1"/>
  <c r="E241" i="1"/>
  <c r="E405" i="1"/>
  <c r="E316" i="1"/>
  <c r="E969" i="1"/>
  <c r="E440" i="1"/>
  <c r="E735" i="1"/>
  <c r="E872" i="1"/>
  <c r="E736" i="1"/>
  <c r="E150" i="1"/>
  <c r="E200" i="1"/>
  <c r="E509" i="1"/>
  <c r="E970" i="1"/>
  <c r="E53" i="1"/>
  <c r="E276" i="1"/>
  <c r="E660" i="1"/>
  <c r="E119" i="1"/>
  <c r="E821" i="1"/>
  <c r="E54" i="1"/>
  <c r="E201" i="1"/>
  <c r="E17" i="1"/>
  <c r="E779" i="1"/>
  <c r="E977" i="1"/>
  <c r="E711" i="1"/>
  <c r="E55" i="1"/>
  <c r="E406" i="1"/>
  <c r="E534" i="1"/>
  <c r="E202" i="1"/>
  <c r="E760" i="1"/>
  <c r="E277" i="1"/>
  <c r="E510" i="1"/>
  <c r="E151" i="1"/>
  <c r="E152" i="1"/>
  <c r="E661" i="1"/>
  <c r="E153" i="1"/>
  <c r="E596" i="1"/>
  <c r="E469" i="1"/>
  <c r="E278" i="1"/>
  <c r="E441" i="1"/>
  <c r="E981" i="1"/>
  <c r="E564" i="1"/>
  <c r="E203" i="1"/>
  <c r="E780" i="1"/>
  <c r="E712" i="1"/>
  <c r="E947" i="1"/>
  <c r="E154" i="1"/>
  <c r="E180" i="1"/>
  <c r="E120" i="1"/>
  <c r="E597" i="1"/>
  <c r="E376" i="1"/>
  <c r="E407" i="1"/>
  <c r="E598" i="1"/>
  <c r="E948" i="1"/>
  <c r="E624" i="1"/>
  <c r="E599" i="1"/>
  <c r="E408" i="1"/>
  <c r="E949" i="1"/>
  <c r="E56" i="1"/>
  <c r="E511" i="1"/>
  <c r="E347" i="1"/>
  <c r="E625" i="1"/>
  <c r="E279" i="1"/>
  <c r="E891" i="1"/>
  <c r="E470" i="1"/>
  <c r="E713" i="1"/>
  <c r="E242" i="1"/>
  <c r="E155" i="1"/>
  <c r="E600" i="1"/>
  <c r="E181" i="1"/>
  <c r="E280" i="1"/>
  <c r="E988" i="1"/>
  <c r="E121" i="1"/>
  <c r="E471" i="1"/>
  <c r="E861" i="1"/>
  <c r="E377" i="1"/>
  <c r="E204" i="1"/>
  <c r="E156" i="1"/>
  <c r="E601" i="1"/>
  <c r="E662" i="1"/>
  <c r="E122" i="1"/>
  <c r="E892" i="1"/>
  <c r="E737" i="1"/>
  <c r="E839" i="1"/>
  <c r="E409" i="1"/>
  <c r="E205" i="1"/>
  <c r="E663" i="1"/>
  <c r="E123" i="1"/>
  <c r="E626" i="1"/>
  <c r="E206" i="1"/>
  <c r="E78" i="1"/>
  <c r="E535" i="1"/>
  <c r="E348" i="1"/>
  <c r="E410" i="1"/>
  <c r="E472" i="1"/>
  <c r="E738" i="1"/>
  <c r="E79" i="1"/>
  <c r="E664" i="1"/>
  <c r="E317" i="1"/>
  <c r="E958" i="1"/>
  <c r="E565" i="1"/>
  <c r="E905" i="1"/>
  <c r="E566" i="1"/>
  <c r="E627" i="1"/>
  <c r="E683" i="1"/>
  <c r="E628" i="1"/>
  <c r="E207" i="1"/>
  <c r="E936" i="1"/>
  <c r="E536" i="1"/>
  <c r="E920" i="1"/>
  <c r="E629" i="1"/>
  <c r="E684" i="1"/>
  <c r="E971" i="1"/>
  <c r="E873" i="1"/>
  <c r="E537" i="1"/>
  <c r="E281" i="1"/>
  <c r="E57" i="1"/>
  <c r="E849" i="1"/>
  <c r="E31" i="1"/>
  <c r="E58" i="1"/>
  <c r="E538" i="1"/>
  <c r="E959" i="1"/>
  <c r="E937" i="1"/>
  <c r="E442" i="1"/>
  <c r="E443" i="1"/>
  <c r="E685" i="1"/>
  <c r="E473" i="1"/>
  <c r="E318" i="1"/>
  <c r="E761" i="1"/>
  <c r="E208" i="1"/>
  <c r="E80" i="1"/>
  <c r="E781" i="1"/>
  <c r="E411" i="1"/>
  <c r="E81" i="1"/>
  <c r="E512" i="1"/>
  <c r="E822" i="1"/>
  <c r="E665" i="1"/>
  <c r="E567" i="1"/>
  <c r="E474" i="1"/>
  <c r="E927" i="1"/>
  <c r="E806" i="1"/>
  <c r="E993" i="1"/>
  <c r="E412" i="1"/>
  <c r="E378" i="1"/>
  <c r="E475" i="1"/>
  <c r="E124" i="1"/>
  <c r="E444" i="1"/>
  <c r="E862" i="1"/>
  <c r="E413" i="1"/>
  <c r="E666" i="1"/>
  <c r="E209" i="1"/>
  <c r="E59" i="1"/>
  <c r="E32" i="1"/>
  <c r="E807" i="1"/>
  <c r="E989" i="1"/>
  <c r="E667" i="1"/>
  <c r="E539" i="1"/>
  <c r="E982" i="1"/>
  <c r="E762" i="1"/>
  <c r="E823" i="1"/>
  <c r="E97" i="1"/>
  <c r="E928" i="1"/>
  <c r="E210" i="1"/>
  <c r="E840" i="1"/>
  <c r="E125" i="1"/>
  <c r="E349" i="1"/>
  <c r="E874" i="1"/>
  <c r="E157" i="1"/>
  <c r="E983" i="1"/>
  <c r="E60" i="1"/>
  <c r="E630" i="1"/>
  <c r="E960" i="1"/>
  <c r="E319" i="1"/>
  <c r="E379" i="1"/>
  <c r="E739" i="1"/>
  <c r="E414" i="1"/>
  <c r="E740" i="1"/>
  <c r="E850" i="1"/>
  <c r="E243" i="1"/>
  <c r="E906" i="1"/>
  <c r="E540" i="1"/>
  <c r="E686" i="1"/>
  <c r="E990" i="1"/>
  <c r="E999" i="1"/>
  <c r="E568" i="1"/>
  <c r="E863" i="1"/>
  <c r="E445" i="1"/>
  <c r="E851" i="1"/>
  <c r="E687" i="1"/>
  <c r="E513" i="1"/>
  <c r="E763" i="1"/>
  <c r="E244" i="1"/>
  <c r="E33" i="1"/>
  <c r="E764" i="1"/>
  <c r="E282" i="1"/>
  <c r="E602" i="1"/>
  <c r="E765" i="1"/>
  <c r="E514" i="1"/>
  <c r="E541" i="1"/>
  <c r="E211" i="1"/>
  <c r="E34" i="1"/>
  <c r="E569" i="1"/>
  <c r="E570" i="1"/>
  <c r="E631" i="1"/>
  <c r="E632" i="1"/>
  <c r="E542" i="1"/>
  <c r="E688" i="1"/>
  <c r="E98" i="1"/>
  <c r="E446" i="1"/>
  <c r="E864" i="1"/>
  <c r="E633" i="1"/>
  <c r="E824" i="1"/>
  <c r="E35" i="1"/>
  <c r="E972" i="1"/>
  <c r="E82" i="1"/>
  <c r="E973" i="1"/>
  <c r="E741" i="1"/>
  <c r="E245" i="1"/>
  <c r="E99" i="1"/>
  <c r="E543" i="1"/>
  <c r="E668" i="1"/>
  <c r="E571" i="1"/>
  <c r="E961" i="1"/>
  <c r="E689" i="1"/>
  <c r="E515" i="1"/>
  <c r="E100" i="1"/>
  <c r="E997" i="1"/>
  <c r="E950" i="1"/>
  <c r="E841" i="1"/>
  <c r="E938" i="1"/>
  <c r="E714" i="1"/>
  <c r="E246" i="1"/>
  <c r="E447" i="1"/>
  <c r="E380" i="1"/>
  <c r="E634" i="1"/>
  <c r="E126" i="1"/>
  <c r="E865" i="1"/>
  <c r="E350" i="1"/>
  <c r="E974" i="1"/>
  <c r="E158" i="1"/>
  <c r="E572" i="1"/>
  <c r="E127" i="1"/>
  <c r="E128" i="1"/>
  <c r="E129" i="1"/>
  <c r="E715" i="1"/>
  <c r="E544" i="1"/>
  <c r="E351" i="1"/>
  <c r="E929" i="1"/>
  <c r="E283" i="1"/>
  <c r="E61" i="1"/>
  <c r="E545" i="1"/>
  <c r="E635" i="1"/>
  <c r="E415" i="1"/>
  <c r="E416" i="1"/>
  <c r="E603" i="1"/>
  <c r="E907" i="1"/>
  <c r="E417" i="1"/>
  <c r="E716" i="1"/>
  <c r="E875" i="1"/>
  <c r="E284" i="1"/>
  <c r="E101" i="1"/>
  <c r="E247" i="1"/>
  <c r="E669" i="1"/>
  <c r="E448" i="1"/>
  <c r="E636" i="1"/>
  <c r="E637" i="1"/>
  <c r="E921" i="1"/>
  <c r="E893" i="1"/>
  <c r="E182" i="1"/>
  <c r="E638" i="1"/>
  <c r="E766" i="1"/>
  <c r="E418" i="1"/>
  <c r="E476" i="1"/>
  <c r="E782" i="1"/>
  <c r="E742" i="1"/>
  <c r="E102" i="1"/>
  <c r="E103" i="1"/>
  <c r="E18" i="1"/>
  <c r="E573" i="1"/>
  <c r="E212" i="1"/>
  <c r="E546" i="1"/>
  <c r="E449" i="1"/>
  <c r="E285" i="1"/>
  <c r="E547" i="1"/>
  <c r="E104" i="1"/>
  <c r="E62" i="1"/>
  <c r="E690" i="1"/>
  <c r="E516" i="1"/>
  <c r="E876" i="1"/>
  <c r="E19" i="1"/>
  <c r="E604" i="1"/>
  <c r="E183" i="1"/>
  <c r="E477" i="1"/>
  <c r="E877" i="1"/>
  <c r="E184" i="1"/>
  <c r="E548" i="1"/>
  <c r="E894" i="1"/>
  <c r="E878" i="1"/>
  <c r="E159" i="1"/>
  <c r="E866" i="1"/>
  <c r="E879" i="1"/>
  <c r="E352" i="1"/>
  <c r="E63" i="1"/>
  <c r="E320" i="1"/>
  <c r="E419" i="1"/>
  <c r="E353" i="1"/>
  <c r="E286" i="1"/>
  <c r="E321" i="1"/>
  <c r="E895" i="1"/>
  <c r="E478" i="1"/>
  <c r="E783" i="1"/>
  <c r="E691" i="1"/>
  <c r="E692" i="1"/>
  <c r="E479" i="1"/>
  <c r="E784" i="1"/>
  <c r="E605" i="1"/>
  <c r="E36" i="1"/>
  <c r="E670" i="1"/>
  <c r="E450" i="1"/>
  <c r="E693" i="1"/>
  <c r="E354" i="1"/>
  <c r="E549" i="1"/>
  <c r="E574" i="1"/>
  <c r="E20" i="1"/>
  <c r="E130" i="1"/>
  <c r="E694" i="1"/>
  <c r="E639" i="1"/>
  <c r="E825" i="1"/>
  <c r="E105" i="1"/>
  <c r="E671" i="1"/>
  <c r="E106" i="1"/>
  <c r="E575" i="1"/>
  <c r="E842" i="1"/>
  <c r="E640" i="1"/>
  <c r="E843" i="1"/>
  <c r="E550" i="1"/>
  <c r="E984" i="1"/>
  <c r="E880" i="1"/>
  <c r="E717" i="1"/>
  <c r="E287" i="1"/>
  <c r="E160" i="1"/>
  <c r="E37" i="1"/>
  <c r="E881" i="1"/>
  <c r="E785" i="1"/>
  <c r="E288" i="1"/>
  <c r="E743" i="1"/>
  <c r="E641" i="1"/>
  <c r="E517" i="1"/>
  <c r="E718" i="1"/>
  <c r="E882" i="1"/>
  <c r="E322" i="1"/>
  <c r="E185" i="1"/>
  <c r="E38" i="1"/>
  <c r="E213" i="1"/>
  <c r="E480" i="1"/>
  <c r="E852" i="1"/>
  <c r="E576" i="1"/>
  <c r="E420" i="1"/>
  <c r="E826" i="1"/>
  <c r="E642" i="1"/>
  <c r="E643" i="1"/>
  <c r="E214" i="1"/>
  <c r="E289" i="1"/>
  <c r="E808" i="1"/>
  <c r="E883" i="1"/>
  <c r="E39" i="1"/>
  <c r="E451" i="1"/>
  <c r="E719" i="1"/>
  <c r="E827" i="1"/>
  <c r="E518" i="1"/>
  <c r="E519" i="1"/>
  <c r="E481" i="1"/>
  <c r="E786" i="1"/>
  <c r="E64" i="1"/>
  <c r="E248" i="1"/>
  <c r="E884" i="1"/>
  <c r="E695" i="1"/>
  <c r="E672" i="1"/>
  <c r="E720" i="1"/>
  <c r="E65" i="1"/>
  <c r="E767" i="1"/>
  <c r="E768" i="1"/>
  <c r="E985" i="1"/>
  <c r="E744" i="1"/>
  <c r="E853" i="1"/>
  <c r="E40" i="1"/>
  <c r="E7" i="1"/>
  <c r="E186" i="1"/>
  <c r="E520" i="1"/>
  <c r="E994" i="1"/>
  <c r="E41" i="1"/>
  <c r="E66" i="1"/>
  <c r="E42" i="1"/>
  <c r="E131" i="1"/>
  <c r="E787" i="1"/>
  <c r="E161" i="1"/>
  <c r="E721" i="1"/>
  <c r="E986" i="1"/>
  <c r="E769" i="1"/>
  <c r="E132" i="1"/>
  <c r="E908" i="1"/>
  <c r="E788" i="1"/>
  <c r="E922" i="1"/>
  <c r="E107" i="1"/>
  <c r="E521" i="1"/>
  <c r="E482" i="1"/>
  <c r="E108" i="1"/>
  <c r="E109" i="1"/>
  <c r="E522" i="1"/>
  <c r="E187" i="1"/>
  <c r="E162" i="1"/>
  <c r="E722" i="1"/>
  <c r="E323" i="1"/>
  <c r="E770" i="1"/>
  <c r="E290" i="1"/>
  <c r="E452" i="1"/>
  <c r="E21" i="1"/>
  <c r="E962" i="1"/>
  <c r="E745" i="1"/>
  <c r="E523" i="1"/>
  <c r="E381" i="1"/>
  <c r="E324" i="1"/>
  <c r="E809" i="1"/>
  <c r="E421" i="1"/>
  <c r="E67" i="1"/>
  <c r="E188" i="1"/>
  <c r="E453" i="1"/>
  <c r="E325" i="1"/>
  <c r="E789" i="1"/>
  <c r="E939" i="1"/>
  <c r="E577" i="1"/>
  <c r="E771" i="1"/>
  <c r="E896" i="1"/>
  <c r="E723" i="1"/>
  <c r="E844" i="1"/>
  <c r="E83" i="1"/>
  <c r="E355" i="1"/>
  <c r="E897" i="1"/>
  <c r="E975" i="1"/>
  <c r="E163" i="1"/>
  <c r="E382" i="1"/>
  <c r="E249" i="1"/>
  <c r="E164" i="1"/>
  <c r="E133" i="1"/>
  <c r="E43" i="1"/>
  <c r="E644" i="1"/>
  <c r="E483" i="1"/>
  <c r="E696" i="1"/>
  <c r="E165" i="1"/>
  <c r="E790" i="1"/>
  <c r="E166" i="1"/>
  <c r="E356" i="1"/>
  <c r="E134" i="1"/>
  <c r="E357" i="1"/>
  <c r="E828" i="1"/>
  <c r="E697" i="1"/>
  <c r="E898" i="1"/>
  <c r="E484" i="1"/>
  <c r="E606" i="1"/>
  <c r="E829" i="1"/>
  <c r="E791" i="1"/>
  <c r="E422" i="1"/>
  <c r="E792" i="1"/>
  <c r="E358" i="1"/>
  <c r="E22" i="1"/>
  <c r="E909" i="1"/>
  <c r="E991" i="1"/>
  <c r="E578" i="1"/>
  <c r="E326" i="1"/>
  <c r="E992" i="1"/>
  <c r="E167" i="1"/>
  <c r="E673" i="1"/>
  <c r="E978" i="1"/>
  <c r="E698" i="1"/>
  <c r="E215" i="1"/>
  <c r="E168" i="1"/>
  <c r="E485" i="1"/>
  <c r="E250" i="1"/>
  <c r="E674" i="1"/>
  <c r="E995" i="1"/>
  <c r="E524" i="1"/>
  <c r="E251" i="1"/>
  <c r="E252" i="1"/>
  <c r="E940" i="1"/>
  <c r="E216" i="1"/>
  <c r="E68" i="1"/>
  <c r="E899" i="1"/>
  <c r="E607" i="1"/>
  <c r="E551" i="1"/>
  <c r="E486" i="1"/>
  <c r="E423" i="1"/>
  <c r="E996" i="1"/>
  <c r="E291" i="1"/>
  <c r="E359" i="1"/>
  <c r="E217" i="1"/>
  <c r="E930" i="1"/>
  <c r="E454" i="1"/>
  <c r="E383" i="1"/>
  <c r="E608" i="1"/>
  <c r="E941" i="1"/>
  <c r="E169" i="1"/>
  <c r="E292" i="1"/>
  <c r="E645" i="1"/>
  <c r="E942" i="1"/>
  <c r="E253" i="1"/>
  <c r="E424" i="1"/>
  <c r="E218" i="1"/>
  <c r="E910" i="1"/>
  <c r="E746" i="1"/>
  <c r="E699" i="1"/>
  <c r="E810" i="1"/>
  <c r="E793" i="1"/>
  <c r="E675" i="1"/>
  <c r="E189" i="1"/>
  <c r="E854" i="1"/>
  <c r="E384" i="1"/>
  <c r="E676" i="1"/>
  <c r="E724" i="1"/>
  <c r="E646" i="1"/>
  <c r="E700" i="1"/>
  <c r="E44" i="1"/>
  <c r="E84" i="1"/>
  <c r="E885" i="1"/>
  <c r="E579" i="1"/>
  <c r="E900" i="1"/>
  <c r="E293" i="1"/>
  <c r="E45" i="1"/>
  <c r="E725" i="1"/>
  <c r="E254" i="1"/>
  <c r="E219" i="1"/>
  <c r="E811" i="1"/>
  <c r="E487" i="1"/>
  <c r="E220" i="1"/>
  <c r="E360" i="1"/>
  <c r="E931" i="1"/>
  <c r="E580" i="1"/>
  <c r="E425" i="1"/>
  <c r="E794" i="1"/>
  <c r="E221" i="1"/>
  <c r="E361" i="1"/>
  <c r="E886" i="1"/>
  <c r="E110" i="1"/>
  <c r="E677" i="1"/>
  <c r="E525" i="1"/>
  <c r="E255" i="1"/>
  <c r="E111" i="1"/>
  <c r="E647" i="1"/>
  <c r="E581" i="1"/>
  <c r="E582" i="1"/>
  <c r="E923" i="1"/>
  <c r="E830" i="1"/>
  <c r="E963" i="1"/>
  <c r="E845" i="1"/>
  <c r="E426" i="1"/>
  <c r="E190" i="1"/>
  <c r="E846" i="1"/>
  <c r="E46" i="1"/>
  <c r="E385" i="1"/>
  <c r="E135" i="1"/>
  <c r="E747" i="1"/>
  <c r="E772" i="1"/>
  <c r="E648" i="1"/>
  <c r="E795" i="1"/>
  <c r="E256" i="1"/>
  <c r="E964" i="1"/>
  <c r="E951" i="1"/>
  <c r="E583" i="1"/>
  <c r="E136" i="1"/>
  <c r="E427" i="1"/>
  <c r="E609" i="1"/>
  <c r="E649" i="1"/>
  <c r="E455" i="1"/>
  <c r="E678" i="1"/>
  <c r="E488" i="1"/>
  <c r="E901" i="1"/>
  <c r="E965" i="1"/>
  <c r="E932" i="1"/>
  <c r="E489" i="1"/>
  <c r="E23" i="1"/>
  <c r="E294" i="1"/>
  <c r="E701" i="1"/>
  <c r="E552" i="1"/>
  <c r="E610" i="1"/>
  <c r="E812" i="1"/>
  <c r="E257" i="1"/>
  <c r="E362" i="1"/>
  <c r="E363" i="1"/>
  <c r="E796" i="1"/>
</calcChain>
</file>

<file path=xl/sharedStrings.xml><?xml version="1.0" encoding="utf-8"?>
<sst xmlns="http://schemas.openxmlformats.org/spreadsheetml/2006/main" count="8016" uniqueCount="40">
  <si>
    <t>ID</t>
  </si>
  <si>
    <t>Marital Status</t>
  </si>
  <si>
    <t>Gender</t>
  </si>
  <si>
    <t>Income</t>
  </si>
  <si>
    <t>Children</t>
  </si>
  <si>
    <t>Education</t>
  </si>
  <si>
    <t>Occupation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</si>
  <si>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</si>
  <si>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</si>
  <si>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</si>
  <si>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</si>
  <si>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</si>
  <si>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</si>
  <si>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</si>
  <si>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</si>
  <si>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</si>
  <si>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</si>
  <si>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</si>
  <si>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</si>
  <si>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</si>
  <si>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</si>
  <si>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</si>
  <si>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</si>
  <si>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</si>
  <si>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</si>
  <si>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</si>
  <si>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</si>
  <si>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</si>
  <si>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</si>
  <si>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Graduate Degree</t>
  </si>
  <si>
    <t>North America</t>
  </si>
  <si>
    <t>Married</t>
  </si>
  <si>
    <t>Single</t>
  </si>
  <si>
    <t>Female</t>
  </si>
  <si>
    <t>Male</t>
  </si>
  <si>
    <t>Age Groups</t>
  </si>
  <si>
    <t>Income Groups</t>
  </si>
  <si>
    <t>More than 10 Miles</t>
  </si>
  <si>
    <t>Own a house?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</si>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</sst>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9" formatCode="dd/mm/yyyy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4" formatCode="[$$-409]#,##0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ike_Data" displayName="Bike_Data" ref="A1:P1001" totalsRowShown="0">
  <autoFilter ref="A1:P1001"/>
  <sortState ref="A2:O1001">
    <sortCondition ref="M1:M1001"/>
  </sortState>
  <tableColumns count="16">
    <tableColumn id="1" name="ID"/>
    <tableColumn id="2" name="Marital Status" dataDxfId="10"/>
    <tableColumn id="3" name="Gender" dataDxfId="9"/>
    <tableColumn id="4" name="Income" dataDxfId="8"/>
    <tableColumn id="16" name="Income Groups" dataDxfId="7">
      <calculatedColumnFormula>IF(Bike_Data[[#This Row],[Income]]&gt;100000,"More than $100000",IF(AND(Bike_Data[[#This Row],[Income]]&gt;=10000, Bike_Data[[#This Row],[Income]]&lt;=50000),"$10000-$50000", "$51000-$100000"))</calculatedColumnFormula>
    </tableColumn>
    <tableColumn id="5" name="Children"/>
    <tableColumn id="6" name="Education" dataDxfId="6"/>
    <tableColumn id="7" name="Occupation" dataDxfId="5"/>
    <tableColumn id="8" name="Own a house?"/>
    <tableColumn id="9" name="Cars"/>
    <tableColumn id="10" name="Commute Distance"/>
    <tableColumn id="11" name="Region" dataDxfId="4"/>
    <tableColumn id="12" name="Age" dataDxfId="3"/>
    <tableColumn id="15" name="Age Groups" dataDxfId="2">
      <calculatedColumnFormula>IF(Bike_Data[[#This Row],[Age]]&gt;=54,"Old",IF(Bike_Data[[#This Row],[Age]]&lt;30,"Young Adult","Middle Age"))</calculatedColumnFormula>
    </tableColumn>
    <tableColumn id="17" name="Date" dataDxfId="0">
      <calculatedColumnFormula>RANDBETWEEN(DATE(1971,1,1), DATE(2003,12,31))</calculatedColumnFormula>
    </tableColumn>
    <tableColumn id="13" name="Purchased Bik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zoomScaleNormal="100" workbookViewId="0">
      <selection activeCell="R7" sqref="R7"/>
    </sheetView>
  </sheetViews>
  <sheetFormatPr defaultColWidth="11.85546875" defaultRowHeight="15" x14ac:dyDescent="0.25"/>
  <cols>
    <col min="1" max="1" width="6" bestFit="1" customWidth="1"/>
    <col min="2" max="2" width="15.7109375" bestFit="1" customWidth="1"/>
    <col min="3" max="3" width="10" bestFit="1" customWidth="1"/>
    <col min="4" max="4" width="9.85546875" bestFit="1" customWidth="1"/>
    <col min="5" max="5" width="17.85546875" bestFit="1" customWidth="1"/>
    <col min="6" max="6" width="10.85546875" bestFit="1" customWidth="1"/>
    <col min="7" max="7" width="17.7109375" bestFit="1" customWidth="1"/>
    <col min="8" max="8" width="14.140625" bestFit="1" customWidth="1"/>
    <col min="9" max="9" width="15.85546875" bestFit="1" customWidth="1"/>
    <col min="10" max="10" width="7" bestFit="1" customWidth="1"/>
    <col min="11" max="11" width="20.28515625" bestFit="1" customWidth="1"/>
    <col min="12" max="12" width="14" bestFit="1" customWidth="1"/>
    <col min="13" max="13" width="6.7109375" bestFit="1" customWidth="1"/>
    <col min="14" max="14" width="13.5703125" bestFit="1" customWidth="1"/>
    <col min="15" max="15" width="10.42578125" style="5" bestFit="1" customWidth="1"/>
    <col min="16" max="16" width="16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4</v>
      </c>
      <c r="G1" t="s">
        <v>5</v>
      </c>
      <c r="H1" t="s">
        <v>6</v>
      </c>
      <c r="I1" t="s">
        <v>38</v>
      </c>
      <c r="J1" t="s">
        <v>7</v>
      </c>
      <c r="K1" t="s">
        <v>8</v>
      </c>
      <c r="L1" t="s">
        <v>9</v>
      </c>
      <c r="M1" t="s">
        <v>10</v>
      </c>
      <c r="N1" t="s">
        <v>35</v>
      </c>
      <c r="O1" s="6" t="s">
        <v>39</v>
      </c>
      <c r="P1" t="s">
        <v>11</v>
      </c>
    </row>
    <row r="2" spans="1:16" x14ac:dyDescent="0.25">
      <c r="A2">
        <v>19441</v>
      </c>
      <c r="B2" s="2" t="s">
        <v>31</v>
      </c>
      <c r="C2" s="2" t="s">
        <v>34</v>
      </c>
      <c r="D2" s="4">
        <v>40000</v>
      </c>
      <c r="E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">
        <v>0</v>
      </c>
      <c r="G2" s="2" t="s">
        <v>29</v>
      </c>
      <c r="H2" s="2" t="s">
        <v>19</v>
      </c>
      <c r="I2" t="s">
        <v>14</v>
      </c>
      <c r="J2">
        <v>0</v>
      </c>
      <c r="K2" t="s">
        <v>15</v>
      </c>
      <c r="L2" s="2" t="s">
        <v>16</v>
      </c>
      <c r="M2" s="4">
        <v>25</v>
      </c>
      <c r="N2" s="4" t="str">
        <f>IF(Bike_Data[[#This Row],[Age]]&gt;=54,"Old",IF(Bike_Data[[#This Row],[Age]]&lt;30,"Young Adult","Middle Age"))</f>
        <v>Young Adult</v>
      </c>
      <c r="O2" s="5">
        <f ca="1">RANDBETWEEN(DATE(1971,1,1), DATE(2003,12,31))</f>
        <v>29901</v>
      </c>
      <c r="P2" s="2" t="s">
        <v>14</v>
      </c>
    </row>
    <row r="3" spans="1:16" x14ac:dyDescent="0.25">
      <c r="A3">
        <v>22402</v>
      </c>
      <c r="B3" s="2" t="s">
        <v>31</v>
      </c>
      <c r="C3" s="2" t="s">
        <v>34</v>
      </c>
      <c r="D3" s="4">
        <v>10000</v>
      </c>
      <c r="E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">
        <v>0</v>
      </c>
      <c r="G3" s="2" t="s">
        <v>18</v>
      </c>
      <c r="H3" s="2" t="s">
        <v>24</v>
      </c>
      <c r="I3" t="s">
        <v>14</v>
      </c>
      <c r="J3">
        <v>1</v>
      </c>
      <c r="K3" t="s">
        <v>21</v>
      </c>
      <c r="L3" s="2" t="s">
        <v>23</v>
      </c>
      <c r="M3" s="4">
        <v>25</v>
      </c>
      <c r="N3" s="4" t="str">
        <f>IF(Bike_Data[[#This Row],[Age]]&gt;=54,"Old",IF(Bike_Data[[#This Row],[Age]]&lt;30,"Young Adult","Middle Age"))</f>
        <v>Young Adult</v>
      </c>
      <c r="O3" s="5">
        <f t="shared" ref="O3:O66" ca="1" si="0">RANDBETWEEN(DATE(1971,1,1), DATE(2003,12,31))</f>
        <v>26116</v>
      </c>
      <c r="P3" s="2" t="s">
        <v>14</v>
      </c>
    </row>
    <row r="4" spans="1:16" x14ac:dyDescent="0.25">
      <c r="A4">
        <v>15465</v>
      </c>
      <c r="B4" s="2" t="s">
        <v>31</v>
      </c>
      <c r="C4" s="2" t="s">
        <v>33</v>
      </c>
      <c r="D4" s="4">
        <v>10000</v>
      </c>
      <c r="E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">
        <v>0</v>
      </c>
      <c r="G4" s="2" t="s">
        <v>18</v>
      </c>
      <c r="H4" s="2" t="s">
        <v>24</v>
      </c>
      <c r="I4" t="s">
        <v>17</v>
      </c>
      <c r="J4">
        <v>1</v>
      </c>
      <c r="K4" t="s">
        <v>15</v>
      </c>
      <c r="L4" s="2" t="s">
        <v>23</v>
      </c>
      <c r="M4" s="4">
        <v>25</v>
      </c>
      <c r="N4" s="4" t="str">
        <f>IF(Bike_Data[[#This Row],[Age]]&gt;=54,"Old",IF(Bike_Data[[#This Row],[Age]]&lt;30,"Young Adult","Middle Age"))</f>
        <v>Young Adult</v>
      </c>
      <c r="O4" s="5">
        <f t="shared" ca="1" si="0"/>
        <v>28657</v>
      </c>
      <c r="P4" s="2" t="s">
        <v>17</v>
      </c>
    </row>
    <row r="5" spans="1:16" x14ac:dyDescent="0.25">
      <c r="A5">
        <v>25559</v>
      </c>
      <c r="B5" s="2" t="s">
        <v>32</v>
      </c>
      <c r="C5" s="2" t="s">
        <v>34</v>
      </c>
      <c r="D5" s="4">
        <v>20000</v>
      </c>
      <c r="E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">
        <v>0</v>
      </c>
      <c r="G5" s="2" t="s">
        <v>12</v>
      </c>
      <c r="H5" s="2" t="s">
        <v>19</v>
      </c>
      <c r="I5" t="s">
        <v>14</v>
      </c>
      <c r="J5">
        <v>0</v>
      </c>
      <c r="K5" t="s">
        <v>15</v>
      </c>
      <c r="L5" s="2" t="s">
        <v>23</v>
      </c>
      <c r="M5" s="4">
        <v>25</v>
      </c>
      <c r="N5" s="4" t="str">
        <f>IF(Bike_Data[[#This Row],[Age]]&gt;=54,"Old",IF(Bike_Data[[#This Row],[Age]]&lt;30,"Young Adult","Middle Age"))</f>
        <v>Young Adult</v>
      </c>
      <c r="O5" s="5">
        <f t="shared" ca="1" si="0"/>
        <v>35332</v>
      </c>
      <c r="P5" s="2" t="s">
        <v>14</v>
      </c>
    </row>
    <row r="6" spans="1:16" x14ac:dyDescent="0.25">
      <c r="A6">
        <v>13673</v>
      </c>
      <c r="B6" s="2" t="s">
        <v>32</v>
      </c>
      <c r="C6" s="2" t="s">
        <v>33</v>
      </c>
      <c r="D6" s="4">
        <v>20000</v>
      </c>
      <c r="E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">
        <v>0</v>
      </c>
      <c r="G6" s="2" t="s">
        <v>28</v>
      </c>
      <c r="H6" s="2" t="s">
        <v>24</v>
      </c>
      <c r="I6" t="s">
        <v>17</v>
      </c>
      <c r="J6">
        <v>2</v>
      </c>
      <c r="K6" t="s">
        <v>15</v>
      </c>
      <c r="L6" s="2" t="s">
        <v>16</v>
      </c>
      <c r="M6" s="4">
        <v>25</v>
      </c>
      <c r="N6" s="4" t="str">
        <f>IF(Bike_Data[[#This Row],[Age]]&gt;=54,"Old",IF(Bike_Data[[#This Row],[Age]]&lt;30,"Young Adult","Middle Age"))</f>
        <v>Young Adult</v>
      </c>
      <c r="O6" s="5">
        <f t="shared" ca="1" si="0"/>
        <v>34652</v>
      </c>
      <c r="P6" s="2" t="s">
        <v>17</v>
      </c>
    </row>
    <row r="7" spans="1:16" x14ac:dyDescent="0.25">
      <c r="A7">
        <v>22971</v>
      </c>
      <c r="B7" s="2" t="s">
        <v>32</v>
      </c>
      <c r="C7" s="2" t="s">
        <v>33</v>
      </c>
      <c r="D7" s="4">
        <v>30000</v>
      </c>
      <c r="E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">
        <v>0</v>
      </c>
      <c r="G7" s="2" t="s">
        <v>26</v>
      </c>
      <c r="H7" s="2" t="s">
        <v>13</v>
      </c>
      <c r="I7" t="s">
        <v>17</v>
      </c>
      <c r="J7">
        <v>2</v>
      </c>
      <c r="K7" t="s">
        <v>15</v>
      </c>
      <c r="L7" s="2" t="s">
        <v>30</v>
      </c>
      <c r="M7" s="4">
        <v>25</v>
      </c>
      <c r="N7" s="4" t="str">
        <f>IF(Bike_Data[[#This Row],[Age]]&gt;=54,"Old",IF(Bike_Data[[#This Row],[Age]]&lt;30,"Young Adult","Middle Age"))</f>
        <v>Young Adult</v>
      </c>
      <c r="O7" s="5">
        <f t="shared" ca="1" si="0"/>
        <v>36949</v>
      </c>
      <c r="P7" s="2" t="s">
        <v>14</v>
      </c>
    </row>
    <row r="8" spans="1:16" x14ac:dyDescent="0.25">
      <c r="A8">
        <v>22400</v>
      </c>
      <c r="B8" s="2" t="s">
        <v>31</v>
      </c>
      <c r="C8" s="2" t="s">
        <v>34</v>
      </c>
      <c r="D8" s="4">
        <v>10000</v>
      </c>
      <c r="E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">
        <v>0</v>
      </c>
      <c r="G8" s="2" t="s">
        <v>18</v>
      </c>
      <c r="H8" s="2" t="s">
        <v>24</v>
      </c>
      <c r="I8" t="s">
        <v>17</v>
      </c>
      <c r="J8">
        <v>1</v>
      </c>
      <c r="K8" t="s">
        <v>15</v>
      </c>
      <c r="L8" s="2" t="s">
        <v>23</v>
      </c>
      <c r="M8" s="4">
        <v>26</v>
      </c>
      <c r="N8" s="4" t="str">
        <f>IF(Bike_Data[[#This Row],[Age]]&gt;=54,"Old",IF(Bike_Data[[#This Row],[Age]]&lt;30,"Young Adult","Middle Age"))</f>
        <v>Young Adult</v>
      </c>
      <c r="O8" s="5">
        <f t="shared" ca="1" si="0"/>
        <v>31596</v>
      </c>
      <c r="P8" s="2" t="s">
        <v>14</v>
      </c>
    </row>
    <row r="9" spans="1:16" x14ac:dyDescent="0.25">
      <c r="A9">
        <v>16188</v>
      </c>
      <c r="B9" s="2" t="s">
        <v>32</v>
      </c>
      <c r="C9" s="2" t="s">
        <v>33</v>
      </c>
      <c r="D9" s="4">
        <v>20000</v>
      </c>
      <c r="E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">
        <v>0</v>
      </c>
      <c r="G9" s="2" t="s">
        <v>28</v>
      </c>
      <c r="H9" s="2" t="s">
        <v>24</v>
      </c>
      <c r="I9" t="s">
        <v>17</v>
      </c>
      <c r="J9">
        <v>2</v>
      </c>
      <c r="K9" t="s">
        <v>25</v>
      </c>
      <c r="L9" s="2" t="s">
        <v>16</v>
      </c>
      <c r="M9" s="4">
        <v>26</v>
      </c>
      <c r="N9" s="4" t="str">
        <f>IF(Bike_Data[[#This Row],[Age]]&gt;=54,"Old",IF(Bike_Data[[#This Row],[Age]]&lt;30,"Young Adult","Middle Age"))</f>
        <v>Young Adult</v>
      </c>
      <c r="O9" s="5">
        <f t="shared" ca="1" si="0"/>
        <v>29679</v>
      </c>
      <c r="P9" s="2" t="s">
        <v>17</v>
      </c>
    </row>
    <row r="10" spans="1:16" x14ac:dyDescent="0.25">
      <c r="A10">
        <v>16514</v>
      </c>
      <c r="B10" s="2" t="s">
        <v>32</v>
      </c>
      <c r="C10" s="2" t="s">
        <v>34</v>
      </c>
      <c r="D10" s="4">
        <v>10000</v>
      </c>
      <c r="E1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">
        <v>0</v>
      </c>
      <c r="G10" s="2" t="s">
        <v>18</v>
      </c>
      <c r="H10" s="2" t="s">
        <v>24</v>
      </c>
      <c r="I10" t="s">
        <v>14</v>
      </c>
      <c r="J10">
        <v>1</v>
      </c>
      <c r="K10" t="s">
        <v>25</v>
      </c>
      <c r="L10" s="2" t="s">
        <v>23</v>
      </c>
      <c r="M10" s="4">
        <v>26</v>
      </c>
      <c r="N10" s="4" t="str">
        <f>IF(Bike_Data[[#This Row],[Age]]&gt;=54,"Old",IF(Bike_Data[[#This Row],[Age]]&lt;30,"Young Adult","Middle Age"))</f>
        <v>Young Adult</v>
      </c>
      <c r="O10" s="5">
        <f t="shared" ca="1" si="0"/>
        <v>26678</v>
      </c>
      <c r="P10" s="2" t="s">
        <v>14</v>
      </c>
    </row>
    <row r="11" spans="1:16" x14ac:dyDescent="0.25">
      <c r="A11">
        <v>15030</v>
      </c>
      <c r="B11" s="2" t="s">
        <v>31</v>
      </c>
      <c r="C11" s="2" t="s">
        <v>34</v>
      </c>
      <c r="D11" s="4">
        <v>20000</v>
      </c>
      <c r="E1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1">
        <v>0</v>
      </c>
      <c r="G11" s="2" t="s">
        <v>12</v>
      </c>
      <c r="H11" s="2" t="s">
        <v>19</v>
      </c>
      <c r="I11" t="s">
        <v>14</v>
      </c>
      <c r="J11">
        <v>0</v>
      </c>
      <c r="K11" t="s">
        <v>15</v>
      </c>
      <c r="L11" s="2" t="s">
        <v>23</v>
      </c>
      <c r="M11" s="4">
        <v>26</v>
      </c>
      <c r="N11" s="4" t="str">
        <f>IF(Bike_Data[[#This Row],[Age]]&gt;=54,"Old",IF(Bike_Data[[#This Row],[Age]]&lt;30,"Young Adult","Middle Age"))</f>
        <v>Young Adult</v>
      </c>
      <c r="O11" s="5">
        <f t="shared" ca="1" si="0"/>
        <v>35769</v>
      </c>
      <c r="P11" s="2" t="s">
        <v>14</v>
      </c>
    </row>
    <row r="12" spans="1:16" x14ac:dyDescent="0.25">
      <c r="A12">
        <v>23993</v>
      </c>
      <c r="B12" s="2" t="s">
        <v>32</v>
      </c>
      <c r="C12" s="2" t="s">
        <v>33</v>
      </c>
      <c r="D12" s="4">
        <v>10000</v>
      </c>
      <c r="E1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">
        <v>0</v>
      </c>
      <c r="G12" s="2" t="s">
        <v>18</v>
      </c>
      <c r="H12" s="2" t="s">
        <v>24</v>
      </c>
      <c r="I12" t="s">
        <v>17</v>
      </c>
      <c r="J12">
        <v>1</v>
      </c>
      <c r="K12" t="s">
        <v>15</v>
      </c>
      <c r="L12" s="2" t="s">
        <v>23</v>
      </c>
      <c r="M12" s="4">
        <v>26</v>
      </c>
      <c r="N12" s="4" t="str">
        <f>IF(Bike_Data[[#This Row],[Age]]&gt;=54,"Old",IF(Bike_Data[[#This Row],[Age]]&lt;30,"Young Adult","Middle Age"))</f>
        <v>Young Adult</v>
      </c>
      <c r="O12" s="5">
        <f t="shared" ca="1" si="0"/>
        <v>27993</v>
      </c>
      <c r="P12" s="2" t="s">
        <v>14</v>
      </c>
    </row>
    <row r="13" spans="1:16" x14ac:dyDescent="0.25">
      <c r="A13">
        <v>28729</v>
      </c>
      <c r="B13" s="2" t="s">
        <v>32</v>
      </c>
      <c r="C13" s="2" t="s">
        <v>33</v>
      </c>
      <c r="D13" s="4">
        <v>20000</v>
      </c>
      <c r="E1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">
        <v>0</v>
      </c>
      <c r="G13" s="2" t="s">
        <v>28</v>
      </c>
      <c r="H13" s="2" t="s">
        <v>24</v>
      </c>
      <c r="I13" t="s">
        <v>14</v>
      </c>
      <c r="J13">
        <v>2</v>
      </c>
      <c r="K13" t="s">
        <v>25</v>
      </c>
      <c r="L13" s="2" t="s">
        <v>16</v>
      </c>
      <c r="M13" s="4">
        <v>26</v>
      </c>
      <c r="N13" s="4" t="str">
        <f>IF(Bike_Data[[#This Row],[Age]]&gt;=54,"Old",IF(Bike_Data[[#This Row],[Age]]&lt;30,"Young Adult","Middle Age"))</f>
        <v>Young Adult</v>
      </c>
      <c r="O13" s="5">
        <f t="shared" ca="1" si="0"/>
        <v>26012</v>
      </c>
      <c r="P13" s="2" t="s">
        <v>14</v>
      </c>
    </row>
    <row r="14" spans="1:16" x14ac:dyDescent="0.25">
      <c r="A14">
        <v>22399</v>
      </c>
      <c r="B14" s="2" t="s">
        <v>32</v>
      </c>
      <c r="C14" s="2" t="s">
        <v>34</v>
      </c>
      <c r="D14" s="4">
        <v>10000</v>
      </c>
      <c r="E1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">
        <v>0</v>
      </c>
      <c r="G14" s="2" t="s">
        <v>18</v>
      </c>
      <c r="H14" s="2" t="s">
        <v>24</v>
      </c>
      <c r="I14" t="s">
        <v>14</v>
      </c>
      <c r="J14">
        <v>1</v>
      </c>
      <c r="K14" t="s">
        <v>25</v>
      </c>
      <c r="L14" s="2" t="s">
        <v>23</v>
      </c>
      <c r="M14" s="4">
        <v>26</v>
      </c>
      <c r="N14" s="4" t="str">
        <f>IF(Bike_Data[[#This Row],[Age]]&gt;=54,"Old",IF(Bike_Data[[#This Row],[Age]]&lt;30,"Young Adult","Middle Age"))</f>
        <v>Young Adult</v>
      </c>
      <c r="O14" s="5">
        <f t="shared" ca="1" si="0"/>
        <v>33754</v>
      </c>
      <c r="P14" s="2" t="s">
        <v>14</v>
      </c>
    </row>
    <row r="15" spans="1:16" x14ac:dyDescent="0.25">
      <c r="A15">
        <v>25555</v>
      </c>
      <c r="B15" s="2" t="s">
        <v>31</v>
      </c>
      <c r="C15" s="2" t="s">
        <v>33</v>
      </c>
      <c r="D15" s="4">
        <v>10000</v>
      </c>
      <c r="E1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">
        <v>0</v>
      </c>
      <c r="G15" s="2" t="s">
        <v>18</v>
      </c>
      <c r="H15" s="2" t="s">
        <v>24</v>
      </c>
      <c r="I15" t="s">
        <v>17</v>
      </c>
      <c r="J15">
        <v>1</v>
      </c>
      <c r="K15" t="s">
        <v>15</v>
      </c>
      <c r="L15" s="2" t="s">
        <v>23</v>
      </c>
      <c r="M15" s="4">
        <v>26</v>
      </c>
      <c r="N15" s="4" t="str">
        <f>IF(Bike_Data[[#This Row],[Age]]&gt;=54,"Old",IF(Bike_Data[[#This Row],[Age]]&lt;30,"Young Adult","Middle Age"))</f>
        <v>Young Adult</v>
      </c>
      <c r="O15" s="5">
        <f t="shared" ca="1" si="0"/>
        <v>25998</v>
      </c>
      <c r="P15" s="2" t="s">
        <v>14</v>
      </c>
    </row>
    <row r="16" spans="1:16" x14ac:dyDescent="0.25">
      <c r="A16">
        <v>20994</v>
      </c>
      <c r="B16" s="2" t="s">
        <v>31</v>
      </c>
      <c r="C16" s="2" t="s">
        <v>33</v>
      </c>
      <c r="D16" s="4">
        <v>20000</v>
      </c>
      <c r="E1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">
        <v>0</v>
      </c>
      <c r="G16" s="2" t="s">
        <v>12</v>
      </c>
      <c r="H16" s="2" t="s">
        <v>19</v>
      </c>
      <c r="I16" t="s">
        <v>17</v>
      </c>
      <c r="J16">
        <v>0</v>
      </c>
      <c r="K16" t="s">
        <v>15</v>
      </c>
      <c r="L16" s="2" t="s">
        <v>23</v>
      </c>
      <c r="M16" s="4">
        <v>26</v>
      </c>
      <c r="N16" s="4" t="str">
        <f>IF(Bike_Data[[#This Row],[Age]]&gt;=54,"Old",IF(Bike_Data[[#This Row],[Age]]&lt;30,"Young Adult","Middle Age"))</f>
        <v>Young Adult</v>
      </c>
      <c r="O16" s="5">
        <f t="shared" ca="1" si="0"/>
        <v>32992</v>
      </c>
      <c r="P16" s="2" t="s">
        <v>14</v>
      </c>
    </row>
    <row r="17" spans="1:16" x14ac:dyDescent="0.25">
      <c r="A17">
        <v>27814</v>
      </c>
      <c r="B17" s="2" t="s">
        <v>32</v>
      </c>
      <c r="C17" s="2" t="s">
        <v>33</v>
      </c>
      <c r="D17" s="4">
        <v>30000</v>
      </c>
      <c r="E1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">
        <v>3</v>
      </c>
      <c r="G17" s="2" t="s">
        <v>18</v>
      </c>
      <c r="H17" s="2" t="s">
        <v>19</v>
      </c>
      <c r="I17" t="s">
        <v>17</v>
      </c>
      <c r="J17">
        <v>1</v>
      </c>
      <c r="K17" t="s">
        <v>15</v>
      </c>
      <c r="L17" s="2" t="s">
        <v>16</v>
      </c>
      <c r="M17" s="4">
        <v>26</v>
      </c>
      <c r="N17" s="4" t="str">
        <f>IF(Bike_Data[[#This Row],[Age]]&gt;=54,"Old",IF(Bike_Data[[#This Row],[Age]]&lt;30,"Young Adult","Middle Age"))</f>
        <v>Young Adult</v>
      </c>
      <c r="O17" s="5">
        <f t="shared" ca="1" si="0"/>
        <v>34604</v>
      </c>
      <c r="P17" s="2" t="s">
        <v>17</v>
      </c>
    </row>
    <row r="18" spans="1:16" x14ac:dyDescent="0.25">
      <c r="A18">
        <v>16725</v>
      </c>
      <c r="B18" s="2" t="s">
        <v>31</v>
      </c>
      <c r="C18" s="2" t="s">
        <v>34</v>
      </c>
      <c r="D18" s="4">
        <v>30000</v>
      </c>
      <c r="E1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8">
        <v>0</v>
      </c>
      <c r="G18" s="2" t="s">
        <v>26</v>
      </c>
      <c r="H18" s="2" t="s">
        <v>13</v>
      </c>
      <c r="I18" t="s">
        <v>14</v>
      </c>
      <c r="J18">
        <v>2</v>
      </c>
      <c r="K18" t="s">
        <v>22</v>
      </c>
      <c r="L18" s="2" t="s">
        <v>30</v>
      </c>
      <c r="M18" s="4">
        <v>26</v>
      </c>
      <c r="N18" s="4" t="str">
        <f>IF(Bike_Data[[#This Row],[Age]]&gt;=54,"Old",IF(Bike_Data[[#This Row],[Age]]&lt;30,"Young Adult","Middle Age"))</f>
        <v>Young Adult</v>
      </c>
      <c r="O18" s="5">
        <f t="shared" ca="1" si="0"/>
        <v>32764</v>
      </c>
      <c r="P18" s="2" t="s">
        <v>17</v>
      </c>
    </row>
    <row r="19" spans="1:16" x14ac:dyDescent="0.25">
      <c r="A19">
        <v>22014</v>
      </c>
      <c r="B19" s="2" t="s">
        <v>32</v>
      </c>
      <c r="C19" s="2" t="s">
        <v>34</v>
      </c>
      <c r="D19" s="4">
        <v>30000</v>
      </c>
      <c r="E1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">
        <v>0</v>
      </c>
      <c r="G19" s="2" t="s">
        <v>26</v>
      </c>
      <c r="H19" s="2" t="s">
        <v>13</v>
      </c>
      <c r="I19" t="s">
        <v>14</v>
      </c>
      <c r="J19">
        <v>2</v>
      </c>
      <c r="K19" t="s">
        <v>22</v>
      </c>
      <c r="L19" s="2" t="s">
        <v>30</v>
      </c>
      <c r="M19" s="4">
        <v>26</v>
      </c>
      <c r="N19" s="4" t="str">
        <f>IF(Bike_Data[[#This Row],[Age]]&gt;=54,"Old",IF(Bike_Data[[#This Row],[Age]]&lt;30,"Young Adult","Middle Age"))</f>
        <v>Young Adult</v>
      </c>
      <c r="O19" s="5">
        <f t="shared" ca="1" si="0"/>
        <v>32197</v>
      </c>
      <c r="P19" s="2" t="s">
        <v>17</v>
      </c>
    </row>
    <row r="20" spans="1:16" x14ac:dyDescent="0.25">
      <c r="A20">
        <v>14514</v>
      </c>
      <c r="B20" s="2" t="s">
        <v>32</v>
      </c>
      <c r="C20" s="2" t="s">
        <v>33</v>
      </c>
      <c r="D20" s="4">
        <v>30000</v>
      </c>
      <c r="E2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0">
        <v>0</v>
      </c>
      <c r="G20" s="2" t="s">
        <v>18</v>
      </c>
      <c r="H20" s="2" t="s">
        <v>13</v>
      </c>
      <c r="I20" t="s">
        <v>14</v>
      </c>
      <c r="J20">
        <v>1</v>
      </c>
      <c r="K20" t="s">
        <v>22</v>
      </c>
      <c r="L20" s="2" t="s">
        <v>30</v>
      </c>
      <c r="M20" s="4">
        <v>26</v>
      </c>
      <c r="N20" s="4" t="str">
        <f>IF(Bike_Data[[#This Row],[Age]]&gt;=54,"Old",IF(Bike_Data[[#This Row],[Age]]&lt;30,"Young Adult","Middle Age"))</f>
        <v>Young Adult</v>
      </c>
      <c r="O20" s="5">
        <f t="shared" ca="1" si="0"/>
        <v>37166</v>
      </c>
      <c r="P20" s="2" t="s">
        <v>17</v>
      </c>
    </row>
    <row r="21" spans="1:16" x14ac:dyDescent="0.25">
      <c r="A21">
        <v>20421</v>
      </c>
      <c r="B21" s="2" t="s">
        <v>32</v>
      </c>
      <c r="C21" s="2" t="s">
        <v>33</v>
      </c>
      <c r="D21" s="4">
        <v>40000</v>
      </c>
      <c r="E2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1">
        <v>0</v>
      </c>
      <c r="G21" s="2" t="s">
        <v>28</v>
      </c>
      <c r="H21" s="2" t="s">
        <v>19</v>
      </c>
      <c r="I21" t="s">
        <v>14</v>
      </c>
      <c r="J21">
        <v>2</v>
      </c>
      <c r="K21" t="s">
        <v>22</v>
      </c>
      <c r="L21" s="2" t="s">
        <v>30</v>
      </c>
      <c r="M21" s="4">
        <v>26</v>
      </c>
      <c r="N21" s="4" t="str">
        <f>IF(Bike_Data[[#This Row],[Age]]&gt;=54,"Old",IF(Bike_Data[[#This Row],[Age]]&lt;30,"Young Adult","Middle Age"))</f>
        <v>Young Adult</v>
      </c>
      <c r="O21" s="5">
        <f t="shared" ca="1" si="0"/>
        <v>30892</v>
      </c>
      <c r="P21" s="2" t="s">
        <v>17</v>
      </c>
    </row>
    <row r="22" spans="1:16" x14ac:dyDescent="0.25">
      <c r="A22">
        <v>18322</v>
      </c>
      <c r="B22" s="2" t="s">
        <v>32</v>
      </c>
      <c r="C22" s="2" t="s">
        <v>34</v>
      </c>
      <c r="D22" s="4">
        <v>30000</v>
      </c>
      <c r="E2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">
        <v>0</v>
      </c>
      <c r="G22" s="2" t="s">
        <v>28</v>
      </c>
      <c r="H22" s="2" t="s">
        <v>19</v>
      </c>
      <c r="I22" t="s">
        <v>17</v>
      </c>
      <c r="J22">
        <v>2</v>
      </c>
      <c r="K22" t="s">
        <v>15</v>
      </c>
      <c r="L22" s="2" t="s">
        <v>30</v>
      </c>
      <c r="M22" s="4">
        <v>26</v>
      </c>
      <c r="N22" s="4" t="str">
        <f>IF(Bike_Data[[#This Row],[Age]]&gt;=54,"Old",IF(Bike_Data[[#This Row],[Age]]&lt;30,"Young Adult","Middle Age"))</f>
        <v>Young Adult</v>
      </c>
      <c r="O22" s="5">
        <f t="shared" ca="1" si="0"/>
        <v>35999</v>
      </c>
      <c r="P22" s="2" t="s">
        <v>17</v>
      </c>
    </row>
    <row r="23" spans="1:16" x14ac:dyDescent="0.25">
      <c r="A23">
        <v>14332</v>
      </c>
      <c r="B23" s="2" t="s">
        <v>32</v>
      </c>
      <c r="C23" s="2" t="s">
        <v>33</v>
      </c>
      <c r="D23" s="4">
        <v>30000</v>
      </c>
      <c r="E2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">
        <v>0</v>
      </c>
      <c r="G23" s="2" t="s">
        <v>26</v>
      </c>
      <c r="H23" s="2" t="s">
        <v>13</v>
      </c>
      <c r="I23" t="s">
        <v>17</v>
      </c>
      <c r="J23">
        <v>2</v>
      </c>
      <c r="K23" t="s">
        <v>22</v>
      </c>
      <c r="L23" s="2" t="s">
        <v>30</v>
      </c>
      <c r="M23" s="4">
        <v>26</v>
      </c>
      <c r="N23" s="4" t="str">
        <f>IF(Bike_Data[[#This Row],[Age]]&gt;=54,"Old",IF(Bike_Data[[#This Row],[Age]]&lt;30,"Young Adult","Middle Age"))</f>
        <v>Young Adult</v>
      </c>
      <c r="O23" s="5">
        <f t="shared" ca="1" si="0"/>
        <v>33345</v>
      </c>
      <c r="P23" s="2" t="s">
        <v>17</v>
      </c>
    </row>
    <row r="24" spans="1:16" x14ac:dyDescent="0.25">
      <c r="A24">
        <v>12728</v>
      </c>
      <c r="B24" s="2" t="s">
        <v>32</v>
      </c>
      <c r="C24" s="2" t="s">
        <v>34</v>
      </c>
      <c r="D24" s="4">
        <v>30000</v>
      </c>
      <c r="E2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4">
        <v>0</v>
      </c>
      <c r="G24" s="2" t="s">
        <v>18</v>
      </c>
      <c r="H24" s="2" t="s">
        <v>19</v>
      </c>
      <c r="I24" t="s">
        <v>17</v>
      </c>
      <c r="J24">
        <v>1</v>
      </c>
      <c r="K24" t="s">
        <v>25</v>
      </c>
      <c r="L24" s="2" t="s">
        <v>16</v>
      </c>
      <c r="M24" s="4">
        <v>27</v>
      </c>
      <c r="N24" s="4" t="str">
        <f>IF(Bike_Data[[#This Row],[Age]]&gt;=54,"Old",IF(Bike_Data[[#This Row],[Age]]&lt;30,"Young Adult","Middle Age"))</f>
        <v>Young Adult</v>
      </c>
      <c r="O24" s="5">
        <f t="shared" ca="1" si="0"/>
        <v>33719</v>
      </c>
      <c r="P24" s="2" t="s">
        <v>17</v>
      </c>
    </row>
    <row r="25" spans="1:16" x14ac:dyDescent="0.25">
      <c r="A25">
        <v>17907</v>
      </c>
      <c r="B25" s="2" t="s">
        <v>31</v>
      </c>
      <c r="C25" s="2" t="s">
        <v>33</v>
      </c>
      <c r="D25" s="4">
        <v>10000</v>
      </c>
      <c r="E2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5">
        <v>0</v>
      </c>
      <c r="G25" s="2" t="s">
        <v>18</v>
      </c>
      <c r="H25" s="2" t="s">
        <v>24</v>
      </c>
      <c r="I25" t="s">
        <v>14</v>
      </c>
      <c r="J25">
        <v>1</v>
      </c>
      <c r="K25" t="s">
        <v>21</v>
      </c>
      <c r="L25" s="2" t="s">
        <v>23</v>
      </c>
      <c r="M25" s="4">
        <v>27</v>
      </c>
      <c r="N25" s="4" t="str">
        <f>IF(Bike_Data[[#This Row],[Age]]&gt;=54,"Old",IF(Bike_Data[[#This Row],[Age]]&lt;30,"Young Adult","Middle Age"))</f>
        <v>Young Adult</v>
      </c>
      <c r="O25" s="5">
        <f t="shared" ca="1" si="0"/>
        <v>37187</v>
      </c>
      <c r="P25" s="2" t="s">
        <v>17</v>
      </c>
    </row>
    <row r="26" spans="1:16" x14ac:dyDescent="0.25">
      <c r="A26">
        <v>12585</v>
      </c>
      <c r="B26" s="2" t="s">
        <v>31</v>
      </c>
      <c r="C26" s="2" t="s">
        <v>34</v>
      </c>
      <c r="D26" s="4">
        <v>10000</v>
      </c>
      <c r="E2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">
        <v>1</v>
      </c>
      <c r="G26" s="2" t="s">
        <v>26</v>
      </c>
      <c r="H26" s="2" t="s">
        <v>24</v>
      </c>
      <c r="I26" t="s">
        <v>14</v>
      </c>
      <c r="J26">
        <v>0</v>
      </c>
      <c r="K26" t="s">
        <v>21</v>
      </c>
      <c r="L26" s="2" t="s">
        <v>23</v>
      </c>
      <c r="M26" s="4">
        <v>27</v>
      </c>
      <c r="N26" s="4" t="str">
        <f>IF(Bike_Data[[#This Row],[Age]]&gt;=54,"Old",IF(Bike_Data[[#This Row],[Age]]&lt;30,"Young Adult","Middle Age"))</f>
        <v>Young Adult</v>
      </c>
      <c r="O26" s="5">
        <f t="shared" ca="1" si="0"/>
        <v>33578</v>
      </c>
      <c r="P26" s="2" t="s">
        <v>14</v>
      </c>
    </row>
    <row r="27" spans="1:16" x14ac:dyDescent="0.25">
      <c r="A27">
        <v>24174</v>
      </c>
      <c r="B27" s="2" t="s">
        <v>31</v>
      </c>
      <c r="C27" s="2" t="s">
        <v>34</v>
      </c>
      <c r="D27" s="4">
        <v>20000</v>
      </c>
      <c r="E2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7">
        <v>0</v>
      </c>
      <c r="G27" s="2" t="s">
        <v>12</v>
      </c>
      <c r="H27" s="2" t="s">
        <v>19</v>
      </c>
      <c r="I27" t="s">
        <v>14</v>
      </c>
      <c r="J27">
        <v>0</v>
      </c>
      <c r="K27" t="s">
        <v>15</v>
      </c>
      <c r="L27" s="2" t="s">
        <v>23</v>
      </c>
      <c r="M27" s="4">
        <v>27</v>
      </c>
      <c r="N27" s="4" t="str">
        <f>IF(Bike_Data[[#This Row],[Age]]&gt;=54,"Old",IF(Bike_Data[[#This Row],[Age]]&lt;30,"Young Adult","Middle Age"))</f>
        <v>Young Adult</v>
      </c>
      <c r="O27" s="5">
        <f t="shared" ca="1" si="0"/>
        <v>27806</v>
      </c>
      <c r="P27" s="2" t="s">
        <v>14</v>
      </c>
    </row>
    <row r="28" spans="1:16" x14ac:dyDescent="0.25">
      <c r="A28">
        <v>12503</v>
      </c>
      <c r="B28" s="2" t="s">
        <v>32</v>
      </c>
      <c r="C28" s="2" t="s">
        <v>33</v>
      </c>
      <c r="D28" s="4">
        <v>30000</v>
      </c>
      <c r="E2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8">
        <v>3</v>
      </c>
      <c r="G28" s="2" t="s">
        <v>18</v>
      </c>
      <c r="H28" s="2" t="s">
        <v>19</v>
      </c>
      <c r="I28" t="s">
        <v>14</v>
      </c>
      <c r="J28">
        <v>2</v>
      </c>
      <c r="K28" t="s">
        <v>15</v>
      </c>
      <c r="L28" s="2" t="s">
        <v>16</v>
      </c>
      <c r="M28" s="4">
        <v>27</v>
      </c>
      <c r="N28" s="4" t="str">
        <f>IF(Bike_Data[[#This Row],[Age]]&gt;=54,"Old",IF(Bike_Data[[#This Row],[Age]]&lt;30,"Young Adult","Middle Age"))</f>
        <v>Young Adult</v>
      </c>
      <c r="O28" s="5">
        <f t="shared" ca="1" si="0"/>
        <v>27346</v>
      </c>
      <c r="P28" s="2" t="s">
        <v>17</v>
      </c>
    </row>
    <row r="29" spans="1:16" x14ac:dyDescent="0.25">
      <c r="A29">
        <v>20927</v>
      </c>
      <c r="B29" s="2" t="s">
        <v>32</v>
      </c>
      <c r="C29" s="2" t="s">
        <v>33</v>
      </c>
      <c r="D29" s="4">
        <v>20000</v>
      </c>
      <c r="E2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9">
        <v>5</v>
      </c>
      <c r="G29" s="2" t="s">
        <v>26</v>
      </c>
      <c r="H29" s="2" t="s">
        <v>24</v>
      </c>
      <c r="I29" t="s">
        <v>14</v>
      </c>
      <c r="J29">
        <v>2</v>
      </c>
      <c r="K29" t="s">
        <v>15</v>
      </c>
      <c r="L29" s="2" t="s">
        <v>16</v>
      </c>
      <c r="M29" s="4">
        <v>27</v>
      </c>
      <c r="N29" s="4" t="str">
        <f>IF(Bike_Data[[#This Row],[Age]]&gt;=54,"Old",IF(Bike_Data[[#This Row],[Age]]&lt;30,"Young Adult","Middle Age"))</f>
        <v>Young Adult</v>
      </c>
      <c r="O29" s="5">
        <f t="shared" ca="1" si="0"/>
        <v>34209</v>
      </c>
      <c r="P29" s="2" t="s">
        <v>17</v>
      </c>
    </row>
    <row r="30" spans="1:16" x14ac:dyDescent="0.25">
      <c r="A30">
        <v>22518</v>
      </c>
      <c r="B30" s="2" t="s">
        <v>32</v>
      </c>
      <c r="C30" s="2" t="s">
        <v>33</v>
      </c>
      <c r="D30" s="4">
        <v>30000</v>
      </c>
      <c r="E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">
        <v>3</v>
      </c>
      <c r="G30" s="2" t="s">
        <v>18</v>
      </c>
      <c r="H30" s="2" t="s">
        <v>19</v>
      </c>
      <c r="I30" t="s">
        <v>17</v>
      </c>
      <c r="J30">
        <v>2</v>
      </c>
      <c r="K30" t="s">
        <v>15</v>
      </c>
      <c r="L30" s="2" t="s">
        <v>16</v>
      </c>
      <c r="M30" s="4">
        <v>27</v>
      </c>
      <c r="N30" s="4" t="str">
        <f>IF(Bike_Data[[#This Row],[Age]]&gt;=54,"Old",IF(Bike_Data[[#This Row],[Age]]&lt;30,"Young Adult","Middle Age"))</f>
        <v>Young Adult</v>
      </c>
      <c r="O30" s="5">
        <f t="shared" ca="1" si="0"/>
        <v>31378</v>
      </c>
      <c r="P30" s="2" t="s">
        <v>14</v>
      </c>
    </row>
    <row r="31" spans="1:16" x14ac:dyDescent="0.25">
      <c r="A31">
        <v>25909</v>
      </c>
      <c r="B31" s="2" t="s">
        <v>31</v>
      </c>
      <c r="C31" s="2" t="s">
        <v>34</v>
      </c>
      <c r="D31" s="4">
        <v>60000</v>
      </c>
      <c r="E3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1">
        <v>0</v>
      </c>
      <c r="G31" s="2" t="s">
        <v>18</v>
      </c>
      <c r="H31" s="2" t="s">
        <v>13</v>
      </c>
      <c r="I31" t="s">
        <v>14</v>
      </c>
      <c r="J31">
        <v>1</v>
      </c>
      <c r="K31" t="s">
        <v>22</v>
      </c>
      <c r="L31" s="2" t="s">
        <v>30</v>
      </c>
      <c r="M31" s="4">
        <v>27</v>
      </c>
      <c r="N31" s="4" t="str">
        <f>IF(Bike_Data[[#This Row],[Age]]&gt;=54,"Old",IF(Bike_Data[[#This Row],[Age]]&lt;30,"Young Adult","Middle Age"))</f>
        <v>Young Adult</v>
      </c>
      <c r="O31" s="5">
        <f t="shared" ca="1" si="0"/>
        <v>32471</v>
      </c>
      <c r="P31" s="2" t="s">
        <v>14</v>
      </c>
    </row>
    <row r="32" spans="1:16" x14ac:dyDescent="0.25">
      <c r="A32">
        <v>17369</v>
      </c>
      <c r="B32" s="2" t="s">
        <v>32</v>
      </c>
      <c r="C32" s="2" t="s">
        <v>34</v>
      </c>
      <c r="D32" s="4">
        <v>30000</v>
      </c>
      <c r="E3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2">
        <v>0</v>
      </c>
      <c r="G32" s="2" t="s">
        <v>18</v>
      </c>
      <c r="H32" s="2" t="s">
        <v>13</v>
      </c>
      <c r="I32" t="s">
        <v>14</v>
      </c>
      <c r="J32">
        <v>1</v>
      </c>
      <c r="K32" t="s">
        <v>22</v>
      </c>
      <c r="L32" s="2" t="s">
        <v>30</v>
      </c>
      <c r="M32" s="4">
        <v>27</v>
      </c>
      <c r="N32" s="4" t="str">
        <f>IF(Bike_Data[[#This Row],[Age]]&gt;=54,"Old",IF(Bike_Data[[#This Row],[Age]]&lt;30,"Young Adult","Middle Age"))</f>
        <v>Young Adult</v>
      </c>
      <c r="O32" s="5">
        <f t="shared" ca="1" si="0"/>
        <v>31538</v>
      </c>
      <c r="P32" s="2" t="s">
        <v>17</v>
      </c>
    </row>
    <row r="33" spans="1:16" x14ac:dyDescent="0.25">
      <c r="A33">
        <v>25261</v>
      </c>
      <c r="B33" s="2" t="s">
        <v>31</v>
      </c>
      <c r="C33" s="2" t="s">
        <v>34</v>
      </c>
      <c r="D33" s="4">
        <v>40000</v>
      </c>
      <c r="E3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">
        <v>0</v>
      </c>
      <c r="G33" s="2" t="s">
        <v>26</v>
      </c>
      <c r="H33" s="2" t="s">
        <v>13</v>
      </c>
      <c r="I33" t="s">
        <v>14</v>
      </c>
      <c r="J33">
        <v>2</v>
      </c>
      <c r="K33" t="s">
        <v>22</v>
      </c>
      <c r="L33" s="2" t="s">
        <v>30</v>
      </c>
      <c r="M33" s="4">
        <v>27</v>
      </c>
      <c r="N33" s="4" t="str">
        <f>IF(Bike_Data[[#This Row],[Age]]&gt;=54,"Old",IF(Bike_Data[[#This Row],[Age]]&lt;30,"Young Adult","Middle Age"))</f>
        <v>Young Adult</v>
      </c>
      <c r="O33" s="5">
        <f t="shared" ca="1" si="0"/>
        <v>27087</v>
      </c>
      <c r="P33" s="2" t="s">
        <v>17</v>
      </c>
    </row>
    <row r="34" spans="1:16" x14ac:dyDescent="0.25">
      <c r="A34">
        <v>22983</v>
      </c>
      <c r="B34" s="2" t="s">
        <v>32</v>
      </c>
      <c r="C34" s="2" t="s">
        <v>33</v>
      </c>
      <c r="D34" s="4">
        <v>30000</v>
      </c>
      <c r="E3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4">
        <v>0</v>
      </c>
      <c r="G34" s="2" t="s">
        <v>28</v>
      </c>
      <c r="H34" s="2" t="s">
        <v>19</v>
      </c>
      <c r="I34" t="s">
        <v>14</v>
      </c>
      <c r="J34">
        <v>2</v>
      </c>
      <c r="K34" t="s">
        <v>22</v>
      </c>
      <c r="L34" s="2" t="s">
        <v>30</v>
      </c>
      <c r="M34" s="4">
        <v>27</v>
      </c>
      <c r="N34" s="4" t="str">
        <f>IF(Bike_Data[[#This Row],[Age]]&gt;=54,"Old",IF(Bike_Data[[#This Row],[Age]]&lt;30,"Young Adult","Middle Age"))</f>
        <v>Young Adult</v>
      </c>
      <c r="O34" s="5">
        <f t="shared" ca="1" si="0"/>
        <v>34068</v>
      </c>
      <c r="P34" s="2" t="s">
        <v>17</v>
      </c>
    </row>
    <row r="35" spans="1:16" x14ac:dyDescent="0.25">
      <c r="A35">
        <v>25943</v>
      </c>
      <c r="B35" s="2" t="s">
        <v>32</v>
      </c>
      <c r="C35" s="2" t="s">
        <v>33</v>
      </c>
      <c r="D35" s="4">
        <v>70000</v>
      </c>
      <c r="E3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">
        <v>0</v>
      </c>
      <c r="G35" s="2" t="s">
        <v>18</v>
      </c>
      <c r="H35" s="2" t="s">
        <v>13</v>
      </c>
      <c r="I35" t="s">
        <v>17</v>
      </c>
      <c r="J35">
        <v>2</v>
      </c>
      <c r="K35" t="s">
        <v>15</v>
      </c>
      <c r="L35" s="2" t="s">
        <v>30</v>
      </c>
      <c r="M35" s="4">
        <v>27</v>
      </c>
      <c r="N35" s="4" t="str">
        <f>IF(Bike_Data[[#This Row],[Age]]&gt;=54,"Old",IF(Bike_Data[[#This Row],[Age]]&lt;30,"Young Adult","Middle Age"))</f>
        <v>Young Adult</v>
      </c>
      <c r="O35" s="5">
        <f t="shared" ca="1" si="0"/>
        <v>33199</v>
      </c>
      <c r="P35" s="2" t="s">
        <v>14</v>
      </c>
    </row>
    <row r="36" spans="1:16" x14ac:dyDescent="0.25">
      <c r="A36">
        <v>27731</v>
      </c>
      <c r="B36" s="2" t="s">
        <v>31</v>
      </c>
      <c r="C36" s="2" t="s">
        <v>34</v>
      </c>
      <c r="D36" s="4">
        <v>40000</v>
      </c>
      <c r="E3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6">
        <v>0</v>
      </c>
      <c r="G36" s="2" t="s">
        <v>26</v>
      </c>
      <c r="H36" s="2" t="s">
        <v>13</v>
      </c>
      <c r="I36" t="s">
        <v>14</v>
      </c>
      <c r="J36">
        <v>2</v>
      </c>
      <c r="K36" t="s">
        <v>22</v>
      </c>
      <c r="L36" s="2" t="s">
        <v>30</v>
      </c>
      <c r="M36" s="4">
        <v>27</v>
      </c>
      <c r="N36" s="4" t="str">
        <f>IF(Bike_Data[[#This Row],[Age]]&gt;=54,"Old",IF(Bike_Data[[#This Row],[Age]]&lt;30,"Young Adult","Middle Age"))</f>
        <v>Young Adult</v>
      </c>
      <c r="O36" s="5">
        <f t="shared" ca="1" si="0"/>
        <v>33444</v>
      </c>
      <c r="P36" s="2" t="s">
        <v>17</v>
      </c>
    </row>
    <row r="37" spans="1:16" x14ac:dyDescent="0.25">
      <c r="A37">
        <v>28087</v>
      </c>
      <c r="B37" s="2" t="s">
        <v>32</v>
      </c>
      <c r="C37" s="2" t="s">
        <v>33</v>
      </c>
      <c r="D37" s="4">
        <v>40000</v>
      </c>
      <c r="E3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">
        <v>0</v>
      </c>
      <c r="G37" s="2" t="s">
        <v>18</v>
      </c>
      <c r="H37" s="2" t="s">
        <v>13</v>
      </c>
      <c r="I37" t="s">
        <v>17</v>
      </c>
      <c r="J37">
        <v>1</v>
      </c>
      <c r="K37" t="s">
        <v>25</v>
      </c>
      <c r="L37" s="2" t="s">
        <v>30</v>
      </c>
      <c r="M37" s="4">
        <v>27</v>
      </c>
      <c r="N37" s="4" t="str">
        <f>IF(Bike_Data[[#This Row],[Age]]&gt;=54,"Old",IF(Bike_Data[[#This Row],[Age]]&lt;30,"Young Adult","Middle Age"))</f>
        <v>Young Adult</v>
      </c>
      <c r="O37" s="5">
        <f t="shared" ca="1" si="0"/>
        <v>36188</v>
      </c>
      <c r="P37" s="2" t="s">
        <v>17</v>
      </c>
    </row>
    <row r="38" spans="1:16" x14ac:dyDescent="0.25">
      <c r="A38">
        <v>25908</v>
      </c>
      <c r="B38" s="2" t="s">
        <v>31</v>
      </c>
      <c r="C38" s="2" t="s">
        <v>33</v>
      </c>
      <c r="D38" s="4">
        <v>60000</v>
      </c>
      <c r="E3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">
        <v>0</v>
      </c>
      <c r="G38" s="2" t="s">
        <v>18</v>
      </c>
      <c r="H38" s="2" t="s">
        <v>13</v>
      </c>
      <c r="I38" t="s">
        <v>17</v>
      </c>
      <c r="J38">
        <v>1</v>
      </c>
      <c r="K38" t="s">
        <v>25</v>
      </c>
      <c r="L38" s="2" t="s">
        <v>30</v>
      </c>
      <c r="M38" s="4">
        <v>27</v>
      </c>
      <c r="N38" s="4" t="str">
        <f>IF(Bike_Data[[#This Row],[Age]]&gt;=54,"Old",IF(Bike_Data[[#This Row],[Age]]&lt;30,"Young Adult","Middle Age"))</f>
        <v>Young Adult</v>
      </c>
      <c r="O38" s="5">
        <f t="shared" ca="1" si="0"/>
        <v>35658</v>
      </c>
      <c r="P38" s="2" t="s">
        <v>17</v>
      </c>
    </row>
    <row r="39" spans="1:16" x14ac:dyDescent="0.25">
      <c r="A39">
        <v>13151</v>
      </c>
      <c r="B39" s="2" t="s">
        <v>32</v>
      </c>
      <c r="C39" s="2" t="s">
        <v>34</v>
      </c>
      <c r="D39" s="4">
        <v>40000</v>
      </c>
      <c r="E3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">
        <v>0</v>
      </c>
      <c r="G39" s="2" t="s">
        <v>26</v>
      </c>
      <c r="H39" s="2" t="s">
        <v>13</v>
      </c>
      <c r="I39" t="s">
        <v>14</v>
      </c>
      <c r="J39">
        <v>2</v>
      </c>
      <c r="K39" t="s">
        <v>22</v>
      </c>
      <c r="L39" s="2" t="s">
        <v>30</v>
      </c>
      <c r="M39" s="4">
        <v>27</v>
      </c>
      <c r="N39" s="4" t="str">
        <f>IF(Bike_Data[[#This Row],[Age]]&gt;=54,"Old",IF(Bike_Data[[#This Row],[Age]]&lt;30,"Young Adult","Middle Age"))</f>
        <v>Young Adult</v>
      </c>
      <c r="O39" s="5">
        <f t="shared" ca="1" si="0"/>
        <v>29380</v>
      </c>
      <c r="P39" s="2" t="s">
        <v>17</v>
      </c>
    </row>
    <row r="40" spans="1:16" x14ac:dyDescent="0.25">
      <c r="A40">
        <v>20310</v>
      </c>
      <c r="B40" s="2" t="s">
        <v>32</v>
      </c>
      <c r="C40" s="2" t="s">
        <v>34</v>
      </c>
      <c r="D40" s="4">
        <v>60000</v>
      </c>
      <c r="E4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">
        <v>0</v>
      </c>
      <c r="G40" s="2" t="s">
        <v>18</v>
      </c>
      <c r="H40" s="2" t="s">
        <v>13</v>
      </c>
      <c r="I40" t="s">
        <v>14</v>
      </c>
      <c r="J40">
        <v>1</v>
      </c>
      <c r="K40" t="s">
        <v>22</v>
      </c>
      <c r="L40" s="2" t="s">
        <v>30</v>
      </c>
      <c r="M40" s="4">
        <v>27</v>
      </c>
      <c r="N40" s="4" t="str">
        <f>IF(Bike_Data[[#This Row],[Age]]&gt;=54,"Old",IF(Bike_Data[[#This Row],[Age]]&lt;30,"Young Adult","Middle Age"))</f>
        <v>Young Adult</v>
      </c>
      <c r="O40" s="5">
        <f t="shared" ca="1" si="0"/>
        <v>26252</v>
      </c>
      <c r="P40" s="2" t="s">
        <v>14</v>
      </c>
    </row>
    <row r="41" spans="1:16" x14ac:dyDescent="0.25">
      <c r="A41">
        <v>28090</v>
      </c>
      <c r="B41" s="2" t="s">
        <v>31</v>
      </c>
      <c r="C41" s="2" t="s">
        <v>34</v>
      </c>
      <c r="D41" s="4">
        <v>40000</v>
      </c>
      <c r="E4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1">
        <v>0</v>
      </c>
      <c r="G41" s="2" t="s">
        <v>18</v>
      </c>
      <c r="H41" s="2" t="s">
        <v>13</v>
      </c>
      <c r="I41" t="s">
        <v>14</v>
      </c>
      <c r="J41">
        <v>1</v>
      </c>
      <c r="K41" t="s">
        <v>22</v>
      </c>
      <c r="L41" s="2" t="s">
        <v>30</v>
      </c>
      <c r="M41" s="4">
        <v>27</v>
      </c>
      <c r="N41" s="4" t="str">
        <f>IF(Bike_Data[[#This Row],[Age]]&gt;=54,"Old",IF(Bike_Data[[#This Row],[Age]]&lt;30,"Young Adult","Middle Age"))</f>
        <v>Young Adult</v>
      </c>
      <c r="O41" s="5">
        <f t="shared" ca="1" si="0"/>
        <v>33591</v>
      </c>
      <c r="P41" s="2" t="s">
        <v>17</v>
      </c>
    </row>
    <row r="42" spans="1:16" x14ac:dyDescent="0.25">
      <c r="A42">
        <v>13154</v>
      </c>
      <c r="B42" s="2" t="s">
        <v>31</v>
      </c>
      <c r="C42" s="2" t="s">
        <v>34</v>
      </c>
      <c r="D42" s="4">
        <v>40000</v>
      </c>
      <c r="E4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2">
        <v>0</v>
      </c>
      <c r="G42" s="2" t="s">
        <v>26</v>
      </c>
      <c r="H42" s="2" t="s">
        <v>13</v>
      </c>
      <c r="I42" t="s">
        <v>17</v>
      </c>
      <c r="J42">
        <v>2</v>
      </c>
      <c r="K42" t="s">
        <v>15</v>
      </c>
      <c r="L42" s="2" t="s">
        <v>30</v>
      </c>
      <c r="M42" s="4">
        <v>27</v>
      </c>
      <c r="N42" s="4" t="str">
        <f>IF(Bike_Data[[#This Row],[Age]]&gt;=54,"Old",IF(Bike_Data[[#This Row],[Age]]&lt;30,"Young Adult","Middle Age"))</f>
        <v>Young Adult</v>
      </c>
      <c r="O42" s="5">
        <f t="shared" ca="1" si="0"/>
        <v>31357</v>
      </c>
      <c r="P42" s="2" t="s">
        <v>14</v>
      </c>
    </row>
    <row r="43" spans="1:16" x14ac:dyDescent="0.25">
      <c r="A43">
        <v>29052</v>
      </c>
      <c r="B43" s="2" t="s">
        <v>32</v>
      </c>
      <c r="C43" s="2" t="s">
        <v>34</v>
      </c>
      <c r="D43" s="4">
        <v>40000</v>
      </c>
      <c r="E4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3">
        <v>0</v>
      </c>
      <c r="G43" s="2" t="s">
        <v>18</v>
      </c>
      <c r="H43" s="2" t="s">
        <v>13</v>
      </c>
      <c r="I43" t="s">
        <v>14</v>
      </c>
      <c r="J43">
        <v>1</v>
      </c>
      <c r="K43" t="s">
        <v>22</v>
      </c>
      <c r="L43" s="2" t="s">
        <v>30</v>
      </c>
      <c r="M43" s="4">
        <v>27</v>
      </c>
      <c r="N43" s="4" t="str">
        <f>IF(Bike_Data[[#This Row],[Age]]&gt;=54,"Old",IF(Bike_Data[[#This Row],[Age]]&lt;30,"Young Adult","Middle Age"))</f>
        <v>Young Adult</v>
      </c>
      <c r="O43" s="5">
        <f t="shared" ca="1" si="0"/>
        <v>35095</v>
      </c>
      <c r="P43" s="2" t="s">
        <v>17</v>
      </c>
    </row>
    <row r="44" spans="1:16" x14ac:dyDescent="0.25">
      <c r="A44">
        <v>12033</v>
      </c>
      <c r="B44" s="2" t="s">
        <v>32</v>
      </c>
      <c r="C44" s="2" t="s">
        <v>33</v>
      </c>
      <c r="D44" s="4">
        <v>40000</v>
      </c>
      <c r="E4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4">
        <v>0</v>
      </c>
      <c r="G44" s="2" t="s">
        <v>26</v>
      </c>
      <c r="H44" s="2" t="s">
        <v>13</v>
      </c>
      <c r="I44" t="s">
        <v>17</v>
      </c>
      <c r="J44">
        <v>2</v>
      </c>
      <c r="K44" t="s">
        <v>15</v>
      </c>
      <c r="L44" s="2" t="s">
        <v>30</v>
      </c>
      <c r="M44" s="4">
        <v>27</v>
      </c>
      <c r="N44" s="4" t="str">
        <f>IF(Bike_Data[[#This Row],[Age]]&gt;=54,"Old",IF(Bike_Data[[#This Row],[Age]]&lt;30,"Young Adult","Middle Age"))</f>
        <v>Young Adult</v>
      </c>
      <c r="O44" s="5">
        <f t="shared" ca="1" si="0"/>
        <v>29635</v>
      </c>
      <c r="P44" s="2" t="s">
        <v>14</v>
      </c>
    </row>
    <row r="45" spans="1:16" x14ac:dyDescent="0.25">
      <c r="A45">
        <v>27740</v>
      </c>
      <c r="B45" s="2" t="s">
        <v>31</v>
      </c>
      <c r="C45" s="2" t="s">
        <v>33</v>
      </c>
      <c r="D45" s="4">
        <v>40000</v>
      </c>
      <c r="E4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5">
        <v>0</v>
      </c>
      <c r="G45" s="2" t="s">
        <v>26</v>
      </c>
      <c r="H45" s="2" t="s">
        <v>13</v>
      </c>
      <c r="I45" t="s">
        <v>14</v>
      </c>
      <c r="J45">
        <v>2</v>
      </c>
      <c r="K45" t="s">
        <v>22</v>
      </c>
      <c r="L45" s="2" t="s">
        <v>30</v>
      </c>
      <c r="M45" s="4">
        <v>27</v>
      </c>
      <c r="N45" s="4" t="str">
        <f>IF(Bike_Data[[#This Row],[Age]]&gt;=54,"Old",IF(Bike_Data[[#This Row],[Age]]&lt;30,"Young Adult","Middle Age"))</f>
        <v>Young Adult</v>
      </c>
      <c r="O45" s="5">
        <f t="shared" ca="1" si="0"/>
        <v>26109</v>
      </c>
      <c r="P45" s="2" t="s">
        <v>17</v>
      </c>
    </row>
    <row r="46" spans="1:16" x14ac:dyDescent="0.25">
      <c r="A46">
        <v>18329</v>
      </c>
      <c r="B46" s="2" t="s">
        <v>32</v>
      </c>
      <c r="C46" s="2" t="s">
        <v>34</v>
      </c>
      <c r="D46" s="4">
        <v>30000</v>
      </c>
      <c r="E4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">
        <v>0</v>
      </c>
      <c r="G46" s="2" t="s">
        <v>28</v>
      </c>
      <c r="H46" s="2" t="s">
        <v>19</v>
      </c>
      <c r="I46" t="s">
        <v>17</v>
      </c>
      <c r="J46">
        <v>2</v>
      </c>
      <c r="K46" t="s">
        <v>22</v>
      </c>
      <c r="L46" s="2" t="s">
        <v>30</v>
      </c>
      <c r="M46" s="4">
        <v>27</v>
      </c>
      <c r="N46" s="4" t="str">
        <f>IF(Bike_Data[[#This Row],[Age]]&gt;=54,"Old",IF(Bike_Data[[#This Row],[Age]]&lt;30,"Young Adult","Middle Age"))</f>
        <v>Young Adult</v>
      </c>
      <c r="O46" s="5">
        <f t="shared" ca="1" si="0"/>
        <v>26620</v>
      </c>
      <c r="P46" s="2" t="s">
        <v>17</v>
      </c>
    </row>
    <row r="47" spans="1:16" x14ac:dyDescent="0.25">
      <c r="A47">
        <v>26863</v>
      </c>
      <c r="B47" s="2" t="s">
        <v>32</v>
      </c>
      <c r="C47" s="2" t="s">
        <v>34</v>
      </c>
      <c r="D47" s="4">
        <v>20000</v>
      </c>
      <c r="E4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7">
        <v>0</v>
      </c>
      <c r="G47" s="2" t="s">
        <v>26</v>
      </c>
      <c r="H47" s="2" t="s">
        <v>24</v>
      </c>
      <c r="I47" t="s">
        <v>17</v>
      </c>
      <c r="J47">
        <v>1</v>
      </c>
      <c r="K47" t="s">
        <v>21</v>
      </c>
      <c r="L47" s="2" t="s">
        <v>16</v>
      </c>
      <c r="M47" s="4">
        <v>28</v>
      </c>
      <c r="N47" s="4" t="str">
        <f>IF(Bike_Data[[#This Row],[Age]]&gt;=54,"Old",IF(Bike_Data[[#This Row],[Age]]&lt;30,"Young Adult","Middle Age"))</f>
        <v>Young Adult</v>
      </c>
      <c r="O47" s="5">
        <f t="shared" ca="1" si="0"/>
        <v>34988</v>
      </c>
      <c r="P47" s="2" t="s">
        <v>17</v>
      </c>
    </row>
    <row r="48" spans="1:16" x14ac:dyDescent="0.25">
      <c r="A48">
        <v>13826</v>
      </c>
      <c r="B48" s="2" t="s">
        <v>32</v>
      </c>
      <c r="C48" s="2" t="s">
        <v>33</v>
      </c>
      <c r="D48" s="4">
        <v>30000</v>
      </c>
      <c r="E4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8">
        <v>0</v>
      </c>
      <c r="G48" s="2" t="s">
        <v>18</v>
      </c>
      <c r="H48" s="2" t="s">
        <v>19</v>
      </c>
      <c r="I48" t="s">
        <v>17</v>
      </c>
      <c r="J48">
        <v>1</v>
      </c>
      <c r="K48" t="s">
        <v>15</v>
      </c>
      <c r="L48" s="2" t="s">
        <v>16</v>
      </c>
      <c r="M48" s="4">
        <v>28</v>
      </c>
      <c r="N48" s="4" t="str">
        <f>IF(Bike_Data[[#This Row],[Age]]&gt;=54,"Old",IF(Bike_Data[[#This Row],[Age]]&lt;30,"Young Adult","Middle Age"))</f>
        <v>Young Adult</v>
      </c>
      <c r="O48" s="5">
        <f t="shared" ca="1" si="0"/>
        <v>28241</v>
      </c>
      <c r="P48" s="2" t="s">
        <v>17</v>
      </c>
    </row>
    <row r="49" spans="1:16" x14ac:dyDescent="0.25">
      <c r="A49">
        <v>25665</v>
      </c>
      <c r="B49" s="2" t="s">
        <v>32</v>
      </c>
      <c r="C49" s="2" t="s">
        <v>33</v>
      </c>
      <c r="D49" s="4">
        <v>20000</v>
      </c>
      <c r="E4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">
        <v>0</v>
      </c>
      <c r="G49" s="2" t="s">
        <v>26</v>
      </c>
      <c r="H49" s="2" t="s">
        <v>24</v>
      </c>
      <c r="I49" t="s">
        <v>17</v>
      </c>
      <c r="J49">
        <v>1</v>
      </c>
      <c r="K49" t="s">
        <v>25</v>
      </c>
      <c r="L49" s="2" t="s">
        <v>16</v>
      </c>
      <c r="M49" s="4">
        <v>28</v>
      </c>
      <c r="N49" s="4" t="str">
        <f>IF(Bike_Data[[#This Row],[Age]]&gt;=54,"Old",IF(Bike_Data[[#This Row],[Age]]&lt;30,"Young Adult","Middle Age"))</f>
        <v>Young Adult</v>
      </c>
      <c r="O49" s="5">
        <f t="shared" ca="1" si="0"/>
        <v>32294</v>
      </c>
      <c r="P49" s="2" t="s">
        <v>17</v>
      </c>
    </row>
    <row r="50" spans="1:16" x14ac:dyDescent="0.25">
      <c r="A50">
        <v>17926</v>
      </c>
      <c r="B50" s="2" t="s">
        <v>32</v>
      </c>
      <c r="C50" s="2" t="s">
        <v>33</v>
      </c>
      <c r="D50" s="4">
        <v>40000</v>
      </c>
      <c r="E5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">
        <v>0</v>
      </c>
      <c r="G50" s="2" t="s">
        <v>12</v>
      </c>
      <c r="H50" s="2" t="s">
        <v>19</v>
      </c>
      <c r="I50" t="s">
        <v>17</v>
      </c>
      <c r="J50">
        <v>0</v>
      </c>
      <c r="K50" t="s">
        <v>15</v>
      </c>
      <c r="L50" s="2" t="s">
        <v>23</v>
      </c>
      <c r="M50" s="4">
        <v>28</v>
      </c>
      <c r="N50" s="4" t="str">
        <f>IF(Bike_Data[[#This Row],[Age]]&gt;=54,"Old",IF(Bike_Data[[#This Row],[Age]]&lt;30,"Young Adult","Middle Age"))</f>
        <v>Young Adult</v>
      </c>
      <c r="O50" s="5">
        <f t="shared" ca="1" si="0"/>
        <v>34051</v>
      </c>
      <c r="P50" s="2" t="s">
        <v>14</v>
      </c>
    </row>
    <row r="51" spans="1:16" x14ac:dyDescent="0.25">
      <c r="A51">
        <v>27878</v>
      </c>
      <c r="B51" s="2" t="s">
        <v>32</v>
      </c>
      <c r="C51" s="2" t="s">
        <v>34</v>
      </c>
      <c r="D51" s="4">
        <v>20000</v>
      </c>
      <c r="E5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1">
        <v>0</v>
      </c>
      <c r="G51" s="2" t="s">
        <v>18</v>
      </c>
      <c r="H51" s="2" t="s">
        <v>24</v>
      </c>
      <c r="I51" t="s">
        <v>17</v>
      </c>
      <c r="J51">
        <v>0</v>
      </c>
      <c r="K51" t="s">
        <v>15</v>
      </c>
      <c r="L51" s="2" t="s">
        <v>23</v>
      </c>
      <c r="M51" s="4">
        <v>28</v>
      </c>
      <c r="N51" s="4" t="str">
        <f>IF(Bike_Data[[#This Row],[Age]]&gt;=54,"Old",IF(Bike_Data[[#This Row],[Age]]&lt;30,"Young Adult","Middle Age"))</f>
        <v>Young Adult</v>
      </c>
      <c r="O51" s="5">
        <f t="shared" ca="1" si="0"/>
        <v>35735</v>
      </c>
      <c r="P51" s="2" t="s">
        <v>14</v>
      </c>
    </row>
    <row r="52" spans="1:16" x14ac:dyDescent="0.25">
      <c r="A52">
        <v>12581</v>
      </c>
      <c r="B52" s="2" t="s">
        <v>32</v>
      </c>
      <c r="C52" s="2" t="s">
        <v>33</v>
      </c>
      <c r="D52" s="4">
        <v>10000</v>
      </c>
      <c r="E5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2">
        <v>0</v>
      </c>
      <c r="G52" s="2" t="s">
        <v>18</v>
      </c>
      <c r="H52" s="2" t="s">
        <v>24</v>
      </c>
      <c r="I52" t="s">
        <v>17</v>
      </c>
      <c r="J52">
        <v>1</v>
      </c>
      <c r="K52" t="s">
        <v>15</v>
      </c>
      <c r="L52" s="2" t="s">
        <v>23</v>
      </c>
      <c r="M52" s="4">
        <v>28</v>
      </c>
      <c r="N52" s="4" t="str">
        <f>IF(Bike_Data[[#This Row],[Age]]&gt;=54,"Old",IF(Bike_Data[[#This Row],[Age]]&lt;30,"Young Adult","Middle Age"))</f>
        <v>Young Adult</v>
      </c>
      <c r="O52" s="5">
        <f t="shared" ca="1" si="0"/>
        <v>36156</v>
      </c>
      <c r="P52" s="2" t="s">
        <v>14</v>
      </c>
    </row>
    <row r="53" spans="1:16" x14ac:dyDescent="0.25">
      <c r="A53">
        <v>19389</v>
      </c>
      <c r="B53" s="2" t="s">
        <v>32</v>
      </c>
      <c r="C53" s="2" t="s">
        <v>34</v>
      </c>
      <c r="D53" s="4">
        <v>30000</v>
      </c>
      <c r="E5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3">
        <v>0</v>
      </c>
      <c r="G53" s="2" t="s">
        <v>18</v>
      </c>
      <c r="H53" s="2" t="s">
        <v>19</v>
      </c>
      <c r="I53" t="s">
        <v>17</v>
      </c>
      <c r="J53">
        <v>1</v>
      </c>
      <c r="K53" t="s">
        <v>21</v>
      </c>
      <c r="L53" s="2" t="s">
        <v>16</v>
      </c>
      <c r="M53" s="4">
        <v>28</v>
      </c>
      <c r="N53" s="4" t="str">
        <f>IF(Bike_Data[[#This Row],[Age]]&gt;=54,"Old",IF(Bike_Data[[#This Row],[Age]]&lt;30,"Young Adult","Middle Age"))</f>
        <v>Young Adult</v>
      </c>
      <c r="O53" s="5">
        <f t="shared" ca="1" si="0"/>
        <v>30169</v>
      </c>
      <c r="P53" s="2" t="s">
        <v>17</v>
      </c>
    </row>
    <row r="54" spans="1:16" x14ac:dyDescent="0.25">
      <c r="A54">
        <v>28488</v>
      </c>
      <c r="B54" s="2" t="s">
        <v>32</v>
      </c>
      <c r="C54" s="2" t="s">
        <v>34</v>
      </c>
      <c r="D54" s="4">
        <v>20000</v>
      </c>
      <c r="E5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4">
        <v>0</v>
      </c>
      <c r="G54" s="2" t="s">
        <v>18</v>
      </c>
      <c r="H54" s="2" t="s">
        <v>24</v>
      </c>
      <c r="I54" t="s">
        <v>14</v>
      </c>
      <c r="J54">
        <v>0</v>
      </c>
      <c r="K54" t="s">
        <v>15</v>
      </c>
      <c r="L54" s="2" t="s">
        <v>23</v>
      </c>
      <c r="M54" s="4">
        <v>28</v>
      </c>
      <c r="N54" s="4" t="str">
        <f>IF(Bike_Data[[#This Row],[Age]]&gt;=54,"Old",IF(Bike_Data[[#This Row],[Age]]&lt;30,"Young Adult","Middle Age"))</f>
        <v>Young Adult</v>
      </c>
      <c r="O54" s="5">
        <f t="shared" ca="1" si="0"/>
        <v>35268</v>
      </c>
      <c r="P54" s="2" t="s">
        <v>14</v>
      </c>
    </row>
    <row r="55" spans="1:16" x14ac:dyDescent="0.25">
      <c r="A55">
        <v>27824</v>
      </c>
      <c r="B55" s="2" t="s">
        <v>32</v>
      </c>
      <c r="C55" s="2" t="s">
        <v>33</v>
      </c>
      <c r="D55" s="4">
        <v>30000</v>
      </c>
      <c r="E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5">
        <v>3</v>
      </c>
      <c r="G55" s="2" t="s">
        <v>18</v>
      </c>
      <c r="H55" s="2" t="s">
        <v>19</v>
      </c>
      <c r="I55" t="s">
        <v>14</v>
      </c>
      <c r="J55">
        <v>2</v>
      </c>
      <c r="K55" t="s">
        <v>15</v>
      </c>
      <c r="L55" s="2" t="s">
        <v>16</v>
      </c>
      <c r="M55" s="4">
        <v>28</v>
      </c>
      <c r="N55" s="4" t="str">
        <f>IF(Bike_Data[[#This Row],[Age]]&gt;=54,"Old",IF(Bike_Data[[#This Row],[Age]]&lt;30,"Young Adult","Middle Age"))</f>
        <v>Young Adult</v>
      </c>
      <c r="O55" s="5">
        <f t="shared" ca="1" si="0"/>
        <v>26511</v>
      </c>
      <c r="P55" s="2" t="s">
        <v>14</v>
      </c>
    </row>
    <row r="56" spans="1:16" x14ac:dyDescent="0.25">
      <c r="A56">
        <v>15612</v>
      </c>
      <c r="B56" s="2" t="s">
        <v>32</v>
      </c>
      <c r="C56" s="2" t="s">
        <v>34</v>
      </c>
      <c r="D56" s="4">
        <v>30000</v>
      </c>
      <c r="E5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6">
        <v>0</v>
      </c>
      <c r="G56" s="2" t="s">
        <v>26</v>
      </c>
      <c r="H56" s="2" t="s">
        <v>24</v>
      </c>
      <c r="I56" t="s">
        <v>17</v>
      </c>
      <c r="J56">
        <v>1</v>
      </c>
      <c r="K56" t="s">
        <v>25</v>
      </c>
      <c r="L56" s="2" t="s">
        <v>16</v>
      </c>
      <c r="M56" s="4">
        <v>28</v>
      </c>
      <c r="N56" s="4" t="str">
        <f>IF(Bike_Data[[#This Row],[Age]]&gt;=54,"Old",IF(Bike_Data[[#This Row],[Age]]&lt;30,"Young Adult","Middle Age"))</f>
        <v>Young Adult</v>
      </c>
      <c r="O56" s="5">
        <f t="shared" ca="1" si="0"/>
        <v>27163</v>
      </c>
      <c r="P56" s="2" t="s">
        <v>17</v>
      </c>
    </row>
    <row r="57" spans="1:16" x14ac:dyDescent="0.25">
      <c r="A57">
        <v>11935</v>
      </c>
      <c r="B57" s="2" t="s">
        <v>32</v>
      </c>
      <c r="C57" s="2" t="s">
        <v>33</v>
      </c>
      <c r="D57" s="4">
        <v>30000</v>
      </c>
      <c r="E5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7">
        <v>0</v>
      </c>
      <c r="G57" s="2" t="s">
        <v>18</v>
      </c>
      <c r="H57" s="2" t="s">
        <v>13</v>
      </c>
      <c r="I57" t="s">
        <v>14</v>
      </c>
      <c r="J57">
        <v>1</v>
      </c>
      <c r="K57" t="s">
        <v>22</v>
      </c>
      <c r="L57" s="2" t="s">
        <v>30</v>
      </c>
      <c r="M57" s="4">
        <v>28</v>
      </c>
      <c r="N57" s="4" t="str">
        <f>IF(Bike_Data[[#This Row],[Age]]&gt;=54,"Old",IF(Bike_Data[[#This Row],[Age]]&lt;30,"Young Adult","Middle Age"))</f>
        <v>Young Adult</v>
      </c>
      <c r="O57" s="5">
        <f t="shared" ca="1" si="0"/>
        <v>28730</v>
      </c>
      <c r="P57" s="2" t="s">
        <v>17</v>
      </c>
    </row>
    <row r="58" spans="1:16" x14ac:dyDescent="0.25">
      <c r="A58">
        <v>14092</v>
      </c>
      <c r="B58" s="2" t="s">
        <v>32</v>
      </c>
      <c r="C58" s="2" t="s">
        <v>34</v>
      </c>
      <c r="D58" s="4">
        <v>30000</v>
      </c>
      <c r="E5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8">
        <v>0</v>
      </c>
      <c r="G58" s="2" t="s">
        <v>28</v>
      </c>
      <c r="H58" s="2" t="s">
        <v>19</v>
      </c>
      <c r="I58" t="s">
        <v>14</v>
      </c>
      <c r="J58">
        <v>2</v>
      </c>
      <c r="K58" t="s">
        <v>22</v>
      </c>
      <c r="L58" s="2" t="s">
        <v>30</v>
      </c>
      <c r="M58" s="4">
        <v>28</v>
      </c>
      <c r="N58" s="4" t="str">
        <f>IF(Bike_Data[[#This Row],[Age]]&gt;=54,"Old",IF(Bike_Data[[#This Row],[Age]]&lt;30,"Young Adult","Middle Age"))</f>
        <v>Young Adult</v>
      </c>
      <c r="O58" s="5">
        <f t="shared" ca="1" si="0"/>
        <v>31798</v>
      </c>
      <c r="P58" s="2" t="s">
        <v>17</v>
      </c>
    </row>
    <row r="59" spans="1:16" x14ac:dyDescent="0.25">
      <c r="A59">
        <v>25006</v>
      </c>
      <c r="B59" s="2" t="s">
        <v>32</v>
      </c>
      <c r="C59" s="2" t="s">
        <v>33</v>
      </c>
      <c r="D59" s="4">
        <v>30000</v>
      </c>
      <c r="E5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9">
        <v>0</v>
      </c>
      <c r="G59" s="2" t="s">
        <v>18</v>
      </c>
      <c r="H59" s="2" t="s">
        <v>13</v>
      </c>
      <c r="I59" t="s">
        <v>14</v>
      </c>
      <c r="J59">
        <v>1</v>
      </c>
      <c r="K59" t="s">
        <v>22</v>
      </c>
      <c r="L59" s="2" t="s">
        <v>30</v>
      </c>
      <c r="M59" s="4">
        <v>28</v>
      </c>
      <c r="N59" s="4" t="str">
        <f>IF(Bike_Data[[#This Row],[Age]]&gt;=54,"Old",IF(Bike_Data[[#This Row],[Age]]&lt;30,"Young Adult","Middle Age"))</f>
        <v>Young Adult</v>
      </c>
      <c r="O59" s="5">
        <f t="shared" ca="1" si="0"/>
        <v>31002</v>
      </c>
      <c r="P59" s="2" t="s">
        <v>17</v>
      </c>
    </row>
    <row r="60" spans="1:16" x14ac:dyDescent="0.25">
      <c r="A60">
        <v>23089</v>
      </c>
      <c r="B60" s="2" t="s">
        <v>31</v>
      </c>
      <c r="C60" s="2" t="s">
        <v>34</v>
      </c>
      <c r="D60" s="4">
        <v>40000</v>
      </c>
      <c r="E6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0">
        <v>0</v>
      </c>
      <c r="G60" s="2" t="s">
        <v>18</v>
      </c>
      <c r="H60" s="2" t="s">
        <v>13</v>
      </c>
      <c r="I60" t="s">
        <v>14</v>
      </c>
      <c r="J60">
        <v>1</v>
      </c>
      <c r="K60" t="s">
        <v>22</v>
      </c>
      <c r="L60" s="2" t="s">
        <v>30</v>
      </c>
      <c r="M60" s="4">
        <v>28</v>
      </c>
      <c r="N60" s="4" t="str">
        <f>IF(Bike_Data[[#This Row],[Age]]&gt;=54,"Old",IF(Bike_Data[[#This Row],[Age]]&lt;30,"Young Adult","Middle Age"))</f>
        <v>Young Adult</v>
      </c>
      <c r="O60" s="5">
        <f t="shared" ca="1" si="0"/>
        <v>35328</v>
      </c>
      <c r="P60" s="2" t="s">
        <v>17</v>
      </c>
    </row>
    <row r="61" spans="1:16" x14ac:dyDescent="0.25">
      <c r="A61">
        <v>22976</v>
      </c>
      <c r="B61" s="2" t="s">
        <v>32</v>
      </c>
      <c r="C61" s="2" t="s">
        <v>34</v>
      </c>
      <c r="D61" s="4">
        <v>40000</v>
      </c>
      <c r="E6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1">
        <v>0</v>
      </c>
      <c r="G61" s="2" t="s">
        <v>26</v>
      </c>
      <c r="H61" s="2" t="s">
        <v>13</v>
      </c>
      <c r="I61" t="s">
        <v>17</v>
      </c>
      <c r="J61">
        <v>2</v>
      </c>
      <c r="K61" t="s">
        <v>15</v>
      </c>
      <c r="L61" s="2" t="s">
        <v>30</v>
      </c>
      <c r="M61" s="4">
        <v>28</v>
      </c>
      <c r="N61" s="4" t="str">
        <f>IF(Bike_Data[[#This Row],[Age]]&gt;=54,"Old",IF(Bike_Data[[#This Row],[Age]]&lt;30,"Young Adult","Middle Age"))</f>
        <v>Young Adult</v>
      </c>
      <c r="O61" s="5">
        <f t="shared" ca="1" si="0"/>
        <v>30436</v>
      </c>
      <c r="P61" s="2" t="s">
        <v>14</v>
      </c>
    </row>
    <row r="62" spans="1:16" x14ac:dyDescent="0.25">
      <c r="A62">
        <v>14090</v>
      </c>
      <c r="B62" s="2" t="s">
        <v>31</v>
      </c>
      <c r="C62" s="2" t="s">
        <v>33</v>
      </c>
      <c r="D62" s="4">
        <v>30000</v>
      </c>
      <c r="E6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2">
        <v>0</v>
      </c>
      <c r="G62" s="2" t="s">
        <v>28</v>
      </c>
      <c r="H62" s="2" t="s">
        <v>19</v>
      </c>
      <c r="I62" t="s">
        <v>17</v>
      </c>
      <c r="J62">
        <v>2</v>
      </c>
      <c r="K62" t="s">
        <v>15</v>
      </c>
      <c r="L62" s="2" t="s">
        <v>30</v>
      </c>
      <c r="M62" s="4">
        <v>28</v>
      </c>
      <c r="N62" s="4" t="str">
        <f>IF(Bike_Data[[#This Row],[Age]]&gt;=54,"Old",IF(Bike_Data[[#This Row],[Age]]&lt;30,"Young Adult","Middle Age"))</f>
        <v>Young Adult</v>
      </c>
      <c r="O62" s="5">
        <f t="shared" ca="1" si="0"/>
        <v>34034</v>
      </c>
      <c r="P62" s="2" t="s">
        <v>17</v>
      </c>
    </row>
    <row r="63" spans="1:16" x14ac:dyDescent="0.25">
      <c r="A63">
        <v>16020</v>
      </c>
      <c r="B63" s="2" t="s">
        <v>31</v>
      </c>
      <c r="C63" s="2" t="s">
        <v>34</v>
      </c>
      <c r="D63" s="4">
        <v>40000</v>
      </c>
      <c r="E6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3">
        <v>0</v>
      </c>
      <c r="G63" s="2" t="s">
        <v>26</v>
      </c>
      <c r="H63" s="2" t="s">
        <v>13</v>
      </c>
      <c r="I63" t="s">
        <v>14</v>
      </c>
      <c r="J63">
        <v>2</v>
      </c>
      <c r="K63" t="s">
        <v>22</v>
      </c>
      <c r="L63" s="2" t="s">
        <v>30</v>
      </c>
      <c r="M63" s="4">
        <v>28</v>
      </c>
      <c r="N63" s="4" t="str">
        <f>IF(Bike_Data[[#This Row],[Age]]&gt;=54,"Old",IF(Bike_Data[[#This Row],[Age]]&lt;30,"Young Adult","Middle Age"))</f>
        <v>Young Adult</v>
      </c>
      <c r="O63" s="5">
        <f t="shared" ca="1" si="0"/>
        <v>37324</v>
      </c>
      <c r="P63" s="2" t="s">
        <v>14</v>
      </c>
    </row>
    <row r="64" spans="1:16" x14ac:dyDescent="0.25">
      <c r="A64">
        <v>24496</v>
      </c>
      <c r="B64" s="2" t="s">
        <v>32</v>
      </c>
      <c r="C64" s="2" t="s">
        <v>33</v>
      </c>
      <c r="D64" s="4">
        <v>40000</v>
      </c>
      <c r="E6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4">
        <v>0</v>
      </c>
      <c r="G64" s="2" t="s">
        <v>26</v>
      </c>
      <c r="H64" s="2" t="s">
        <v>13</v>
      </c>
      <c r="I64" t="s">
        <v>17</v>
      </c>
      <c r="J64">
        <v>2</v>
      </c>
      <c r="K64" t="s">
        <v>15</v>
      </c>
      <c r="L64" s="2" t="s">
        <v>30</v>
      </c>
      <c r="M64" s="4">
        <v>28</v>
      </c>
      <c r="N64" s="4" t="str">
        <f>IF(Bike_Data[[#This Row],[Age]]&gt;=54,"Old",IF(Bike_Data[[#This Row],[Age]]&lt;30,"Young Adult","Middle Age"))</f>
        <v>Young Adult</v>
      </c>
      <c r="O64" s="5">
        <f t="shared" ca="1" si="0"/>
        <v>36081</v>
      </c>
      <c r="P64" s="2" t="s">
        <v>14</v>
      </c>
    </row>
    <row r="65" spans="1:16" x14ac:dyDescent="0.25">
      <c r="A65">
        <v>18363</v>
      </c>
      <c r="B65" s="2" t="s">
        <v>31</v>
      </c>
      <c r="C65" s="2" t="s">
        <v>34</v>
      </c>
      <c r="D65" s="4">
        <v>40000</v>
      </c>
      <c r="E6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5">
        <v>0</v>
      </c>
      <c r="G65" s="2" t="s">
        <v>26</v>
      </c>
      <c r="H65" s="2" t="s">
        <v>13</v>
      </c>
      <c r="I65" t="s">
        <v>14</v>
      </c>
      <c r="J65">
        <v>2</v>
      </c>
      <c r="K65" t="s">
        <v>22</v>
      </c>
      <c r="L65" s="2" t="s">
        <v>30</v>
      </c>
      <c r="M65" s="4">
        <v>28</v>
      </c>
      <c r="N65" s="4" t="str">
        <f>IF(Bike_Data[[#This Row],[Age]]&gt;=54,"Old",IF(Bike_Data[[#This Row],[Age]]&lt;30,"Young Adult","Middle Age"))</f>
        <v>Young Adult</v>
      </c>
      <c r="O65" s="5">
        <f t="shared" ca="1" si="0"/>
        <v>32565</v>
      </c>
      <c r="P65" s="2" t="s">
        <v>14</v>
      </c>
    </row>
    <row r="66" spans="1:16" x14ac:dyDescent="0.25">
      <c r="A66">
        <v>15255</v>
      </c>
      <c r="B66" s="2" t="s">
        <v>31</v>
      </c>
      <c r="C66" s="2" t="s">
        <v>34</v>
      </c>
      <c r="D66" s="4">
        <v>40000</v>
      </c>
      <c r="E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6">
        <v>0</v>
      </c>
      <c r="G66" s="2" t="s">
        <v>26</v>
      </c>
      <c r="H66" s="2" t="s">
        <v>13</v>
      </c>
      <c r="I66" t="s">
        <v>14</v>
      </c>
      <c r="J66">
        <v>2</v>
      </c>
      <c r="K66" t="s">
        <v>22</v>
      </c>
      <c r="L66" s="2" t="s">
        <v>30</v>
      </c>
      <c r="M66" s="4">
        <v>28</v>
      </c>
      <c r="N66" s="4" t="str">
        <f>IF(Bike_Data[[#This Row],[Age]]&gt;=54,"Old",IF(Bike_Data[[#This Row],[Age]]&lt;30,"Young Adult","Middle Age"))</f>
        <v>Young Adult</v>
      </c>
      <c r="O66" s="5">
        <f t="shared" ca="1" si="0"/>
        <v>37686</v>
      </c>
      <c r="P66" s="2" t="s">
        <v>14</v>
      </c>
    </row>
    <row r="67" spans="1:16" x14ac:dyDescent="0.25">
      <c r="A67">
        <v>18891</v>
      </c>
      <c r="B67" s="2" t="s">
        <v>31</v>
      </c>
      <c r="C67" s="2" t="s">
        <v>33</v>
      </c>
      <c r="D67" s="4">
        <v>40000</v>
      </c>
      <c r="E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7">
        <v>0</v>
      </c>
      <c r="G67" s="2" t="s">
        <v>18</v>
      </c>
      <c r="H67" s="2" t="s">
        <v>13</v>
      </c>
      <c r="I67" t="s">
        <v>14</v>
      </c>
      <c r="J67">
        <v>2</v>
      </c>
      <c r="K67" t="s">
        <v>22</v>
      </c>
      <c r="L67" s="2" t="s">
        <v>30</v>
      </c>
      <c r="M67" s="4">
        <v>28</v>
      </c>
      <c r="N67" s="4" t="str">
        <f>IF(Bike_Data[[#This Row],[Age]]&gt;=54,"Old",IF(Bike_Data[[#This Row],[Age]]&lt;30,"Young Adult","Middle Age"))</f>
        <v>Young Adult</v>
      </c>
      <c r="O67" s="5">
        <f t="shared" ref="O67:O130" ca="1" si="1">RANDBETWEEN(DATE(1971,1,1), DATE(2003,12,31))</f>
        <v>30301</v>
      </c>
      <c r="P67" s="2" t="s">
        <v>17</v>
      </c>
    </row>
    <row r="68" spans="1:16" x14ac:dyDescent="0.25">
      <c r="A68">
        <v>12029</v>
      </c>
      <c r="B68" s="2" t="s">
        <v>31</v>
      </c>
      <c r="C68" s="2" t="s">
        <v>34</v>
      </c>
      <c r="D68" s="4">
        <v>30000</v>
      </c>
      <c r="E6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">
        <v>0</v>
      </c>
      <c r="G68" s="2" t="s">
        <v>28</v>
      </c>
      <c r="H68" s="2" t="s">
        <v>19</v>
      </c>
      <c r="I68" t="s">
        <v>17</v>
      </c>
      <c r="J68">
        <v>2</v>
      </c>
      <c r="K68" t="s">
        <v>15</v>
      </c>
      <c r="L68" s="2" t="s">
        <v>30</v>
      </c>
      <c r="M68" s="4">
        <v>28</v>
      </c>
      <c r="N68" s="4" t="str">
        <f>IF(Bike_Data[[#This Row],[Age]]&gt;=54,"Old",IF(Bike_Data[[#This Row],[Age]]&lt;30,"Young Adult","Middle Age"))</f>
        <v>Young Adult</v>
      </c>
      <c r="O68" s="5">
        <f t="shared" ca="1" si="1"/>
        <v>35284</v>
      </c>
      <c r="P68" s="2" t="s">
        <v>17</v>
      </c>
    </row>
    <row r="69" spans="1:16" x14ac:dyDescent="0.25">
      <c r="A69">
        <v>17841</v>
      </c>
      <c r="B69" s="2" t="s">
        <v>32</v>
      </c>
      <c r="C69" s="2" t="s">
        <v>34</v>
      </c>
      <c r="D69" s="4">
        <v>30000</v>
      </c>
      <c r="E6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9">
        <v>0</v>
      </c>
      <c r="G69" s="2" t="s">
        <v>18</v>
      </c>
      <c r="H69" s="2" t="s">
        <v>19</v>
      </c>
      <c r="I69" t="s">
        <v>17</v>
      </c>
      <c r="J69">
        <v>1</v>
      </c>
      <c r="K69" t="s">
        <v>15</v>
      </c>
      <c r="L69" s="2" t="s">
        <v>16</v>
      </c>
      <c r="M69" s="4">
        <v>29</v>
      </c>
      <c r="N69" s="4" t="str">
        <f>IF(Bike_Data[[#This Row],[Age]]&gt;=54,"Old",IF(Bike_Data[[#This Row],[Age]]&lt;30,"Young Adult","Middle Age"))</f>
        <v>Young Adult</v>
      </c>
      <c r="O69" s="5">
        <f t="shared" ca="1" si="1"/>
        <v>35120</v>
      </c>
      <c r="P69" s="2" t="s">
        <v>14</v>
      </c>
    </row>
    <row r="70" spans="1:16" x14ac:dyDescent="0.25">
      <c r="A70">
        <v>27969</v>
      </c>
      <c r="B70" s="2" t="s">
        <v>31</v>
      </c>
      <c r="C70" s="2" t="s">
        <v>34</v>
      </c>
      <c r="D70" s="4">
        <v>80000</v>
      </c>
      <c r="E7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0">
        <v>0</v>
      </c>
      <c r="G70" s="2" t="s">
        <v>12</v>
      </c>
      <c r="H70" s="2" t="s">
        <v>20</v>
      </c>
      <c r="I70" t="s">
        <v>14</v>
      </c>
      <c r="J70">
        <v>2</v>
      </c>
      <c r="K70" t="s">
        <v>37</v>
      </c>
      <c r="L70" s="2" t="s">
        <v>23</v>
      </c>
      <c r="M70" s="4">
        <v>29</v>
      </c>
      <c r="N70" s="4" t="str">
        <f>IF(Bike_Data[[#This Row],[Age]]&gt;=54,"Old",IF(Bike_Data[[#This Row],[Age]]&lt;30,"Young Adult","Middle Age"))</f>
        <v>Young Adult</v>
      </c>
      <c r="O70" s="5">
        <f t="shared" ca="1" si="1"/>
        <v>36580</v>
      </c>
      <c r="P70" s="2" t="s">
        <v>14</v>
      </c>
    </row>
    <row r="71" spans="1:16" x14ac:dyDescent="0.25">
      <c r="A71">
        <v>28412</v>
      </c>
      <c r="B71" s="2" t="s">
        <v>32</v>
      </c>
      <c r="C71" s="2" t="s">
        <v>34</v>
      </c>
      <c r="D71" s="4">
        <v>20000</v>
      </c>
      <c r="E7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1">
        <v>0</v>
      </c>
      <c r="G71" s="2" t="s">
        <v>26</v>
      </c>
      <c r="H71" s="2" t="s">
        <v>24</v>
      </c>
      <c r="I71" t="s">
        <v>17</v>
      </c>
      <c r="J71">
        <v>1</v>
      </c>
      <c r="K71" t="s">
        <v>21</v>
      </c>
      <c r="L71" s="2" t="s">
        <v>16</v>
      </c>
      <c r="M71" s="4">
        <v>29</v>
      </c>
      <c r="N71" s="4" t="str">
        <f>IF(Bike_Data[[#This Row],[Age]]&gt;=54,"Old",IF(Bike_Data[[#This Row],[Age]]&lt;30,"Young Adult","Middle Age"))</f>
        <v>Young Adult</v>
      </c>
      <c r="O71" s="5">
        <f t="shared" ca="1" si="1"/>
        <v>30250</v>
      </c>
      <c r="P71" s="2" t="s">
        <v>17</v>
      </c>
    </row>
    <row r="72" spans="1:16" x14ac:dyDescent="0.25">
      <c r="A72">
        <v>24119</v>
      </c>
      <c r="B72" s="2" t="s">
        <v>32</v>
      </c>
      <c r="C72" s="2" t="s">
        <v>34</v>
      </c>
      <c r="D72" s="4">
        <v>30000</v>
      </c>
      <c r="E7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2">
        <v>0</v>
      </c>
      <c r="G72" s="2" t="s">
        <v>18</v>
      </c>
      <c r="H72" s="2" t="s">
        <v>19</v>
      </c>
      <c r="I72" t="s">
        <v>17</v>
      </c>
      <c r="J72">
        <v>1</v>
      </c>
      <c r="K72" t="s">
        <v>21</v>
      </c>
      <c r="L72" s="2" t="s">
        <v>16</v>
      </c>
      <c r="M72" s="4">
        <v>29</v>
      </c>
      <c r="N72" s="4" t="str">
        <f>IF(Bike_Data[[#This Row],[Age]]&gt;=54,"Old",IF(Bike_Data[[#This Row],[Age]]&lt;30,"Young Adult","Middle Age"))</f>
        <v>Young Adult</v>
      </c>
      <c r="O72" s="5">
        <f t="shared" ca="1" si="1"/>
        <v>35758</v>
      </c>
      <c r="P72" s="2" t="s">
        <v>17</v>
      </c>
    </row>
    <row r="73" spans="1:16" x14ac:dyDescent="0.25">
      <c r="A73">
        <v>26886</v>
      </c>
      <c r="B73" s="2" t="s">
        <v>32</v>
      </c>
      <c r="C73" s="2" t="s">
        <v>33</v>
      </c>
      <c r="D73" s="4">
        <v>30000</v>
      </c>
      <c r="E7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3">
        <v>0</v>
      </c>
      <c r="G73" s="2" t="s">
        <v>18</v>
      </c>
      <c r="H73" s="2" t="s">
        <v>19</v>
      </c>
      <c r="I73" t="s">
        <v>17</v>
      </c>
      <c r="J73">
        <v>1</v>
      </c>
      <c r="K73" t="s">
        <v>15</v>
      </c>
      <c r="L73" s="2" t="s">
        <v>16</v>
      </c>
      <c r="M73" s="4">
        <v>29</v>
      </c>
      <c r="N73" s="4" t="str">
        <f>IF(Bike_Data[[#This Row],[Age]]&gt;=54,"Old",IF(Bike_Data[[#This Row],[Age]]&lt;30,"Young Adult","Middle Age"))</f>
        <v>Young Adult</v>
      </c>
      <c r="O73" s="5">
        <f t="shared" ca="1" si="1"/>
        <v>32064</v>
      </c>
      <c r="P73" s="2" t="s">
        <v>14</v>
      </c>
    </row>
    <row r="74" spans="1:16" x14ac:dyDescent="0.25">
      <c r="A74">
        <v>12871</v>
      </c>
      <c r="B74" s="2" t="s">
        <v>32</v>
      </c>
      <c r="C74" s="2" t="s">
        <v>33</v>
      </c>
      <c r="D74" s="4">
        <v>30000</v>
      </c>
      <c r="E7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4">
        <v>0</v>
      </c>
      <c r="G74" s="2" t="s">
        <v>18</v>
      </c>
      <c r="H74" s="2" t="s">
        <v>19</v>
      </c>
      <c r="I74" t="s">
        <v>17</v>
      </c>
      <c r="J74">
        <v>1</v>
      </c>
      <c r="K74" t="s">
        <v>21</v>
      </c>
      <c r="L74" s="2" t="s">
        <v>16</v>
      </c>
      <c r="M74" s="4">
        <v>29</v>
      </c>
      <c r="N74" s="4" t="str">
        <f>IF(Bike_Data[[#This Row],[Age]]&gt;=54,"Old",IF(Bike_Data[[#This Row],[Age]]&lt;30,"Young Adult","Middle Age"))</f>
        <v>Young Adult</v>
      </c>
      <c r="O74" s="5">
        <f t="shared" ca="1" si="1"/>
        <v>28275</v>
      </c>
      <c r="P74" s="2" t="s">
        <v>17</v>
      </c>
    </row>
    <row r="75" spans="1:16" x14ac:dyDescent="0.25">
      <c r="A75">
        <v>12253</v>
      </c>
      <c r="B75" s="2" t="s">
        <v>32</v>
      </c>
      <c r="C75" s="2" t="s">
        <v>33</v>
      </c>
      <c r="D75" s="4">
        <v>20000</v>
      </c>
      <c r="E7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5">
        <v>0</v>
      </c>
      <c r="G75" s="2" t="s">
        <v>18</v>
      </c>
      <c r="H75" s="2" t="s">
        <v>24</v>
      </c>
      <c r="I75" t="s">
        <v>14</v>
      </c>
      <c r="J75">
        <v>0</v>
      </c>
      <c r="K75" t="s">
        <v>15</v>
      </c>
      <c r="L75" s="2" t="s">
        <v>23</v>
      </c>
      <c r="M75" s="4">
        <v>29</v>
      </c>
      <c r="N75" s="4" t="str">
        <f>IF(Bike_Data[[#This Row],[Age]]&gt;=54,"Old",IF(Bike_Data[[#This Row],[Age]]&lt;30,"Young Adult","Middle Age"))</f>
        <v>Young Adult</v>
      </c>
      <c r="O75" s="5">
        <f t="shared" ca="1" si="1"/>
        <v>34823</v>
      </c>
      <c r="P75" s="2" t="s">
        <v>14</v>
      </c>
    </row>
    <row r="76" spans="1:16" x14ac:dyDescent="0.25">
      <c r="A76">
        <v>22527</v>
      </c>
      <c r="B76" s="2" t="s">
        <v>32</v>
      </c>
      <c r="C76" s="2" t="s">
        <v>33</v>
      </c>
      <c r="D76" s="4">
        <v>20000</v>
      </c>
      <c r="E7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6">
        <v>0</v>
      </c>
      <c r="G76" s="2" t="s">
        <v>26</v>
      </c>
      <c r="H76" s="2" t="s">
        <v>24</v>
      </c>
      <c r="I76" t="s">
        <v>17</v>
      </c>
      <c r="J76">
        <v>1</v>
      </c>
      <c r="K76" t="s">
        <v>21</v>
      </c>
      <c r="L76" s="2" t="s">
        <v>16</v>
      </c>
      <c r="M76" s="4">
        <v>29</v>
      </c>
      <c r="N76" s="4" t="str">
        <f>IF(Bike_Data[[#This Row],[Age]]&gt;=54,"Old",IF(Bike_Data[[#This Row],[Age]]&lt;30,"Young Adult","Middle Age"))</f>
        <v>Young Adult</v>
      </c>
      <c r="O76" s="5">
        <f t="shared" ca="1" si="1"/>
        <v>28506</v>
      </c>
      <c r="P76" s="2" t="s">
        <v>17</v>
      </c>
    </row>
    <row r="77" spans="1:16" x14ac:dyDescent="0.25">
      <c r="A77">
        <v>24121</v>
      </c>
      <c r="B77" s="2" t="s">
        <v>32</v>
      </c>
      <c r="C77" s="2" t="s">
        <v>33</v>
      </c>
      <c r="D77" s="4">
        <v>30000</v>
      </c>
      <c r="E7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7">
        <v>0</v>
      </c>
      <c r="G77" s="2" t="s">
        <v>18</v>
      </c>
      <c r="H77" s="2" t="s">
        <v>19</v>
      </c>
      <c r="I77" t="s">
        <v>17</v>
      </c>
      <c r="J77">
        <v>1</v>
      </c>
      <c r="K77" t="s">
        <v>15</v>
      </c>
      <c r="L77" s="2" t="s">
        <v>16</v>
      </c>
      <c r="M77" s="4">
        <v>29</v>
      </c>
      <c r="N77" s="4" t="str">
        <f>IF(Bike_Data[[#This Row],[Age]]&gt;=54,"Old",IF(Bike_Data[[#This Row],[Age]]&lt;30,"Young Adult","Middle Age"))</f>
        <v>Young Adult</v>
      </c>
      <c r="O77" s="5">
        <f t="shared" ca="1" si="1"/>
        <v>27674</v>
      </c>
      <c r="P77" s="2" t="s">
        <v>14</v>
      </c>
    </row>
    <row r="78" spans="1:16" x14ac:dyDescent="0.25">
      <c r="A78">
        <v>15275</v>
      </c>
      <c r="B78" s="2" t="s">
        <v>31</v>
      </c>
      <c r="C78" s="2" t="s">
        <v>34</v>
      </c>
      <c r="D78" s="4">
        <v>40000</v>
      </c>
      <c r="E7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8">
        <v>0</v>
      </c>
      <c r="G78" s="2" t="s">
        <v>18</v>
      </c>
      <c r="H78" s="2" t="s">
        <v>13</v>
      </c>
      <c r="I78" t="s">
        <v>14</v>
      </c>
      <c r="J78">
        <v>1</v>
      </c>
      <c r="K78" t="s">
        <v>22</v>
      </c>
      <c r="L78" s="2" t="s">
        <v>30</v>
      </c>
      <c r="M78" s="4">
        <v>29</v>
      </c>
      <c r="N78" s="4" t="str">
        <f>IF(Bike_Data[[#This Row],[Age]]&gt;=54,"Old",IF(Bike_Data[[#This Row],[Age]]&lt;30,"Young Adult","Middle Age"))</f>
        <v>Young Adult</v>
      </c>
      <c r="O78" s="5">
        <f t="shared" ca="1" si="1"/>
        <v>37604</v>
      </c>
      <c r="P78" s="2" t="s">
        <v>17</v>
      </c>
    </row>
    <row r="79" spans="1:16" x14ac:dyDescent="0.25">
      <c r="A79">
        <v>16337</v>
      </c>
      <c r="B79" s="2" t="s">
        <v>31</v>
      </c>
      <c r="C79" s="2" t="s">
        <v>34</v>
      </c>
      <c r="D79" s="4">
        <v>60000</v>
      </c>
      <c r="E7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">
        <v>0</v>
      </c>
      <c r="G79" s="2" t="s">
        <v>18</v>
      </c>
      <c r="H79" s="2" t="s">
        <v>13</v>
      </c>
      <c r="I79" t="s">
        <v>17</v>
      </c>
      <c r="J79">
        <v>2</v>
      </c>
      <c r="K79" t="s">
        <v>25</v>
      </c>
      <c r="L79" s="2" t="s">
        <v>30</v>
      </c>
      <c r="M79" s="4">
        <v>29</v>
      </c>
      <c r="N79" s="4" t="str">
        <f>IF(Bike_Data[[#This Row],[Age]]&gt;=54,"Old",IF(Bike_Data[[#This Row],[Age]]&lt;30,"Young Adult","Middle Age"))</f>
        <v>Young Adult</v>
      </c>
      <c r="O79" s="5">
        <f t="shared" ca="1" si="1"/>
        <v>31718</v>
      </c>
      <c r="P79" s="2" t="s">
        <v>17</v>
      </c>
    </row>
    <row r="80" spans="1:16" x14ac:dyDescent="0.25">
      <c r="A80">
        <v>11143</v>
      </c>
      <c r="B80" s="2" t="s">
        <v>31</v>
      </c>
      <c r="C80" s="2" t="s">
        <v>34</v>
      </c>
      <c r="D80" s="4">
        <v>40000</v>
      </c>
      <c r="E8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0">
        <v>0</v>
      </c>
      <c r="G80" s="2" t="s">
        <v>26</v>
      </c>
      <c r="H80" s="2" t="s">
        <v>13</v>
      </c>
      <c r="I80" t="s">
        <v>14</v>
      </c>
      <c r="J80">
        <v>2</v>
      </c>
      <c r="K80" t="s">
        <v>22</v>
      </c>
      <c r="L80" s="2" t="s">
        <v>30</v>
      </c>
      <c r="M80" s="4">
        <v>29</v>
      </c>
      <c r="N80" s="4" t="str">
        <f>IF(Bike_Data[[#This Row],[Age]]&gt;=54,"Old",IF(Bike_Data[[#This Row],[Age]]&lt;30,"Young Adult","Middle Age"))</f>
        <v>Young Adult</v>
      </c>
      <c r="O80" s="5">
        <f t="shared" ca="1" si="1"/>
        <v>31696</v>
      </c>
      <c r="P80" s="2" t="s">
        <v>17</v>
      </c>
    </row>
    <row r="81" spans="1:16" x14ac:dyDescent="0.25">
      <c r="A81">
        <v>19758</v>
      </c>
      <c r="B81" s="2" t="s">
        <v>32</v>
      </c>
      <c r="C81" s="2" t="s">
        <v>34</v>
      </c>
      <c r="D81" s="4">
        <v>60000</v>
      </c>
      <c r="E8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1">
        <v>0</v>
      </c>
      <c r="G81" s="2" t="s">
        <v>18</v>
      </c>
      <c r="H81" s="2" t="s">
        <v>13</v>
      </c>
      <c r="I81" t="s">
        <v>17</v>
      </c>
      <c r="J81">
        <v>2</v>
      </c>
      <c r="K81" t="s">
        <v>25</v>
      </c>
      <c r="L81" s="2" t="s">
        <v>30</v>
      </c>
      <c r="M81" s="4">
        <v>29</v>
      </c>
      <c r="N81" s="4" t="str">
        <f>IF(Bike_Data[[#This Row],[Age]]&gt;=54,"Old",IF(Bike_Data[[#This Row],[Age]]&lt;30,"Young Adult","Middle Age"))</f>
        <v>Young Adult</v>
      </c>
      <c r="O81" s="5">
        <f t="shared" ca="1" si="1"/>
        <v>27552</v>
      </c>
      <c r="P81" s="2" t="s">
        <v>17</v>
      </c>
    </row>
    <row r="82" spans="1:16" x14ac:dyDescent="0.25">
      <c r="A82">
        <v>20414</v>
      </c>
      <c r="B82" s="2" t="s">
        <v>31</v>
      </c>
      <c r="C82" s="2" t="s">
        <v>33</v>
      </c>
      <c r="D82" s="4">
        <v>60000</v>
      </c>
      <c r="E8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">
        <v>0</v>
      </c>
      <c r="G82" s="2" t="s">
        <v>18</v>
      </c>
      <c r="H82" s="2" t="s">
        <v>13</v>
      </c>
      <c r="I82" t="s">
        <v>14</v>
      </c>
      <c r="J82">
        <v>2</v>
      </c>
      <c r="K82" t="s">
        <v>22</v>
      </c>
      <c r="L82" s="2" t="s">
        <v>30</v>
      </c>
      <c r="M82" s="4">
        <v>29</v>
      </c>
      <c r="N82" s="4" t="str">
        <f>IF(Bike_Data[[#This Row],[Age]]&gt;=54,"Old",IF(Bike_Data[[#This Row],[Age]]&lt;30,"Young Adult","Middle Age"))</f>
        <v>Young Adult</v>
      </c>
      <c r="O82" s="5">
        <f t="shared" ca="1" si="1"/>
        <v>26905</v>
      </c>
      <c r="P82" s="2" t="s">
        <v>17</v>
      </c>
    </row>
    <row r="83" spans="1:16" x14ac:dyDescent="0.25">
      <c r="A83">
        <v>17482</v>
      </c>
      <c r="B83" s="2" t="s">
        <v>32</v>
      </c>
      <c r="C83" s="2" t="s">
        <v>33</v>
      </c>
      <c r="D83" s="4">
        <v>40000</v>
      </c>
      <c r="E8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3">
        <v>0</v>
      </c>
      <c r="G83" s="2" t="s">
        <v>28</v>
      </c>
      <c r="H83" s="2" t="s">
        <v>19</v>
      </c>
      <c r="I83" t="s">
        <v>14</v>
      </c>
      <c r="J83">
        <v>2</v>
      </c>
      <c r="K83" t="s">
        <v>22</v>
      </c>
      <c r="L83" s="2" t="s">
        <v>30</v>
      </c>
      <c r="M83" s="4">
        <v>29</v>
      </c>
      <c r="N83" s="4" t="str">
        <f>IF(Bike_Data[[#This Row],[Age]]&gt;=54,"Old",IF(Bike_Data[[#This Row],[Age]]&lt;30,"Young Adult","Middle Age"))</f>
        <v>Young Adult</v>
      </c>
      <c r="O83" s="5">
        <f t="shared" ca="1" si="1"/>
        <v>33614</v>
      </c>
      <c r="P83" s="2" t="s">
        <v>17</v>
      </c>
    </row>
    <row r="84" spans="1:16" x14ac:dyDescent="0.25">
      <c r="A84">
        <v>11941</v>
      </c>
      <c r="B84" s="2" t="s">
        <v>32</v>
      </c>
      <c r="C84" s="2" t="s">
        <v>34</v>
      </c>
      <c r="D84" s="4">
        <v>60000</v>
      </c>
      <c r="E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">
        <v>0</v>
      </c>
      <c r="G84" s="2" t="s">
        <v>18</v>
      </c>
      <c r="H84" s="2" t="s">
        <v>13</v>
      </c>
      <c r="I84" t="s">
        <v>14</v>
      </c>
      <c r="J84">
        <v>0</v>
      </c>
      <c r="K84" t="s">
        <v>22</v>
      </c>
      <c r="L84" s="2" t="s">
        <v>30</v>
      </c>
      <c r="M84" s="4">
        <v>29</v>
      </c>
      <c r="N84" s="4" t="str">
        <f>IF(Bike_Data[[#This Row],[Age]]&gt;=54,"Old",IF(Bike_Data[[#This Row],[Age]]&lt;30,"Young Adult","Middle Age"))</f>
        <v>Young Adult</v>
      </c>
      <c r="O84" s="5">
        <f t="shared" ca="1" si="1"/>
        <v>28907</v>
      </c>
      <c r="P84" s="2" t="s">
        <v>17</v>
      </c>
    </row>
    <row r="85" spans="1:16" x14ac:dyDescent="0.25">
      <c r="A85">
        <v>27832</v>
      </c>
      <c r="B85" s="2" t="s">
        <v>32</v>
      </c>
      <c r="C85" s="2" t="s">
        <v>33</v>
      </c>
      <c r="D85" s="4">
        <v>30000</v>
      </c>
      <c r="E8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5">
        <v>0</v>
      </c>
      <c r="G85" s="2" t="s">
        <v>18</v>
      </c>
      <c r="H85" s="2" t="s">
        <v>19</v>
      </c>
      <c r="I85" t="s">
        <v>17</v>
      </c>
      <c r="J85">
        <v>1</v>
      </c>
      <c r="K85" t="s">
        <v>21</v>
      </c>
      <c r="L85" s="2" t="s">
        <v>16</v>
      </c>
      <c r="M85" s="4">
        <v>30</v>
      </c>
      <c r="N85" s="4" t="str">
        <f>IF(Bike_Data[[#This Row],[Age]]&gt;=54,"Old",IF(Bike_Data[[#This Row],[Age]]&lt;30,"Young Adult","Middle Age"))</f>
        <v>Middle Age</v>
      </c>
      <c r="O85" s="5">
        <f t="shared" ca="1" si="1"/>
        <v>34928</v>
      </c>
      <c r="P85" s="2" t="s">
        <v>17</v>
      </c>
    </row>
    <row r="86" spans="1:16" x14ac:dyDescent="0.25">
      <c r="A86">
        <v>16438</v>
      </c>
      <c r="B86" s="2" t="s">
        <v>31</v>
      </c>
      <c r="C86" s="2" t="s">
        <v>33</v>
      </c>
      <c r="D86" s="4">
        <v>10000</v>
      </c>
      <c r="E8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6">
        <v>0</v>
      </c>
      <c r="G86" s="2" t="s">
        <v>28</v>
      </c>
      <c r="H86" s="2" t="s">
        <v>24</v>
      </c>
      <c r="I86" t="s">
        <v>17</v>
      </c>
      <c r="J86">
        <v>2</v>
      </c>
      <c r="K86" t="s">
        <v>15</v>
      </c>
      <c r="L86" s="2" t="s">
        <v>16</v>
      </c>
      <c r="M86" s="4">
        <v>30</v>
      </c>
      <c r="N86" s="4" t="str">
        <f>IF(Bike_Data[[#This Row],[Age]]&gt;=54,"Old",IF(Bike_Data[[#This Row],[Age]]&lt;30,"Young Adult","Middle Age"))</f>
        <v>Middle Age</v>
      </c>
      <c r="O86" s="5">
        <f t="shared" ca="1" si="1"/>
        <v>26522</v>
      </c>
      <c r="P86" s="2" t="s">
        <v>17</v>
      </c>
    </row>
    <row r="87" spans="1:16" x14ac:dyDescent="0.25">
      <c r="A87">
        <v>28436</v>
      </c>
      <c r="B87" s="2" t="s">
        <v>32</v>
      </c>
      <c r="C87" s="2" t="s">
        <v>34</v>
      </c>
      <c r="D87" s="4">
        <v>30000</v>
      </c>
      <c r="E8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7">
        <v>0</v>
      </c>
      <c r="G87" s="2" t="s">
        <v>18</v>
      </c>
      <c r="H87" s="2" t="s">
        <v>19</v>
      </c>
      <c r="I87" t="s">
        <v>17</v>
      </c>
      <c r="J87">
        <v>1</v>
      </c>
      <c r="K87" t="s">
        <v>15</v>
      </c>
      <c r="L87" s="2" t="s">
        <v>16</v>
      </c>
      <c r="M87" s="4">
        <v>30</v>
      </c>
      <c r="N87" s="4" t="str">
        <f>IF(Bike_Data[[#This Row],[Age]]&gt;=54,"Old",IF(Bike_Data[[#This Row],[Age]]&lt;30,"Young Adult","Middle Age"))</f>
        <v>Middle Age</v>
      </c>
      <c r="O87" s="5">
        <f t="shared" ca="1" si="1"/>
        <v>34171</v>
      </c>
      <c r="P87" s="2" t="s">
        <v>14</v>
      </c>
    </row>
    <row r="88" spans="1:16" x14ac:dyDescent="0.25">
      <c r="A88">
        <v>22707</v>
      </c>
      <c r="B88" s="2" t="s">
        <v>32</v>
      </c>
      <c r="C88" s="2" t="s">
        <v>33</v>
      </c>
      <c r="D88" s="4">
        <v>30000</v>
      </c>
      <c r="E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8">
        <v>0</v>
      </c>
      <c r="G88" s="2" t="s">
        <v>18</v>
      </c>
      <c r="H88" s="2" t="s">
        <v>19</v>
      </c>
      <c r="I88" t="s">
        <v>17</v>
      </c>
      <c r="J88">
        <v>1</v>
      </c>
      <c r="K88" t="s">
        <v>21</v>
      </c>
      <c r="L88" s="2" t="s">
        <v>16</v>
      </c>
      <c r="M88" s="4">
        <v>30</v>
      </c>
      <c r="N88" s="4" t="str">
        <f>IF(Bike_Data[[#This Row],[Age]]&gt;=54,"Old",IF(Bike_Data[[#This Row],[Age]]&lt;30,"Young Adult","Middle Age"))</f>
        <v>Middle Age</v>
      </c>
      <c r="O88" s="5">
        <f t="shared" ca="1" si="1"/>
        <v>26914</v>
      </c>
      <c r="P88" s="2" t="s">
        <v>17</v>
      </c>
    </row>
    <row r="89" spans="1:16" x14ac:dyDescent="0.25">
      <c r="A89">
        <v>24140</v>
      </c>
      <c r="B89" s="2" t="s">
        <v>32</v>
      </c>
      <c r="C89" s="2" t="s">
        <v>34</v>
      </c>
      <c r="D89" s="4">
        <v>10000</v>
      </c>
      <c r="E8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">
        <v>0</v>
      </c>
      <c r="G89" s="2" t="s">
        <v>29</v>
      </c>
      <c r="H89" s="2" t="s">
        <v>24</v>
      </c>
      <c r="I89" t="s">
        <v>17</v>
      </c>
      <c r="J89">
        <v>0</v>
      </c>
      <c r="K89" t="s">
        <v>15</v>
      </c>
      <c r="L89" s="2" t="s">
        <v>16</v>
      </c>
      <c r="M89" s="4">
        <v>30</v>
      </c>
      <c r="N89" s="4" t="str">
        <f>IF(Bike_Data[[#This Row],[Age]]&gt;=54,"Old",IF(Bike_Data[[#This Row],[Age]]&lt;30,"Young Adult","Middle Age"))</f>
        <v>Middle Age</v>
      </c>
      <c r="O89" s="5">
        <f t="shared" ca="1" si="1"/>
        <v>30748</v>
      </c>
      <c r="P89" s="2" t="s">
        <v>14</v>
      </c>
    </row>
    <row r="90" spans="1:16" x14ac:dyDescent="0.25">
      <c r="A90">
        <v>20946</v>
      </c>
      <c r="B90" s="2" t="s">
        <v>32</v>
      </c>
      <c r="C90" s="2" t="s">
        <v>33</v>
      </c>
      <c r="D90" s="4">
        <v>30000</v>
      </c>
      <c r="E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0">
        <v>0</v>
      </c>
      <c r="G90" s="2" t="s">
        <v>18</v>
      </c>
      <c r="H90" s="2" t="s">
        <v>19</v>
      </c>
      <c r="I90" t="s">
        <v>17</v>
      </c>
      <c r="J90">
        <v>1</v>
      </c>
      <c r="K90" t="s">
        <v>21</v>
      </c>
      <c r="L90" s="2" t="s">
        <v>16</v>
      </c>
      <c r="M90" s="4">
        <v>30</v>
      </c>
      <c r="N90" s="4" t="str">
        <f>IF(Bike_Data[[#This Row],[Age]]&gt;=54,"Old",IF(Bike_Data[[#This Row],[Age]]&lt;30,"Young Adult","Middle Age"))</f>
        <v>Middle Age</v>
      </c>
      <c r="O90" s="5">
        <f t="shared" ca="1" si="1"/>
        <v>36182</v>
      </c>
      <c r="P90" s="2" t="s">
        <v>17</v>
      </c>
    </row>
    <row r="91" spans="1:16" x14ac:dyDescent="0.25">
      <c r="A91">
        <v>26879</v>
      </c>
      <c r="B91" s="2" t="s">
        <v>32</v>
      </c>
      <c r="C91" s="2" t="s">
        <v>33</v>
      </c>
      <c r="D91" s="4">
        <v>20000</v>
      </c>
      <c r="E9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1">
        <v>0</v>
      </c>
      <c r="G91" s="2" t="s">
        <v>26</v>
      </c>
      <c r="H91" s="2" t="s">
        <v>24</v>
      </c>
      <c r="I91" t="s">
        <v>17</v>
      </c>
      <c r="J91">
        <v>1</v>
      </c>
      <c r="K91" t="s">
        <v>21</v>
      </c>
      <c r="L91" s="2" t="s">
        <v>16</v>
      </c>
      <c r="M91" s="4">
        <v>30</v>
      </c>
      <c r="N91" s="4" t="str">
        <f>IF(Bike_Data[[#This Row],[Age]]&gt;=54,"Old",IF(Bike_Data[[#This Row],[Age]]&lt;30,"Young Adult","Middle Age"))</f>
        <v>Middle Age</v>
      </c>
      <c r="O91" s="5">
        <f t="shared" ca="1" si="1"/>
        <v>27180</v>
      </c>
      <c r="P91" s="2" t="s">
        <v>17</v>
      </c>
    </row>
    <row r="92" spans="1:16" x14ac:dyDescent="0.25">
      <c r="A92">
        <v>19508</v>
      </c>
      <c r="B92" s="2" t="s">
        <v>31</v>
      </c>
      <c r="C92" s="2" t="s">
        <v>34</v>
      </c>
      <c r="D92" s="4">
        <v>10000</v>
      </c>
      <c r="E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2">
        <v>0</v>
      </c>
      <c r="G92" s="2" t="s">
        <v>28</v>
      </c>
      <c r="H92" s="2" t="s">
        <v>24</v>
      </c>
      <c r="I92" t="s">
        <v>17</v>
      </c>
      <c r="J92">
        <v>2</v>
      </c>
      <c r="K92" t="s">
        <v>15</v>
      </c>
      <c r="L92" s="2" t="s">
        <v>16</v>
      </c>
      <c r="M92" s="4">
        <v>30</v>
      </c>
      <c r="N92" s="4" t="str">
        <f>IF(Bike_Data[[#This Row],[Age]]&gt;=54,"Old",IF(Bike_Data[[#This Row],[Age]]&lt;30,"Young Adult","Middle Age"))</f>
        <v>Middle Age</v>
      </c>
      <c r="O92" s="5">
        <f t="shared" ca="1" si="1"/>
        <v>36599</v>
      </c>
      <c r="P92" s="2" t="s">
        <v>17</v>
      </c>
    </row>
    <row r="93" spans="1:16" x14ac:dyDescent="0.25">
      <c r="A93">
        <v>16468</v>
      </c>
      <c r="B93" s="2" t="s">
        <v>32</v>
      </c>
      <c r="C93" s="2" t="s">
        <v>34</v>
      </c>
      <c r="D93" s="4">
        <v>30000</v>
      </c>
      <c r="E9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">
        <v>0</v>
      </c>
      <c r="G93" s="2" t="s">
        <v>18</v>
      </c>
      <c r="H93" s="2" t="s">
        <v>19</v>
      </c>
      <c r="I93" t="s">
        <v>14</v>
      </c>
      <c r="J93">
        <v>1</v>
      </c>
      <c r="K93" t="s">
        <v>21</v>
      </c>
      <c r="L93" s="2" t="s">
        <v>16</v>
      </c>
      <c r="M93" s="4">
        <v>30</v>
      </c>
      <c r="N93" s="4" t="str">
        <f>IF(Bike_Data[[#This Row],[Age]]&gt;=54,"Old",IF(Bike_Data[[#This Row],[Age]]&lt;30,"Young Adult","Middle Age"))</f>
        <v>Middle Age</v>
      </c>
      <c r="O93" s="5">
        <f t="shared" ca="1" si="1"/>
        <v>28298</v>
      </c>
      <c r="P93" s="2" t="s">
        <v>17</v>
      </c>
    </row>
    <row r="94" spans="1:16" x14ac:dyDescent="0.25">
      <c r="A94">
        <v>17230</v>
      </c>
      <c r="B94" s="2" t="s">
        <v>31</v>
      </c>
      <c r="C94" s="2" t="s">
        <v>34</v>
      </c>
      <c r="D94" s="4">
        <v>80000</v>
      </c>
      <c r="E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4">
        <v>0</v>
      </c>
      <c r="G94" s="2" t="s">
        <v>12</v>
      </c>
      <c r="H94" s="2" t="s">
        <v>20</v>
      </c>
      <c r="I94" t="s">
        <v>14</v>
      </c>
      <c r="J94">
        <v>3</v>
      </c>
      <c r="K94" t="s">
        <v>37</v>
      </c>
      <c r="L94" s="2" t="s">
        <v>23</v>
      </c>
      <c r="M94" s="4">
        <v>30</v>
      </c>
      <c r="N94" s="4" t="str">
        <f>IF(Bike_Data[[#This Row],[Age]]&gt;=54,"Old",IF(Bike_Data[[#This Row],[Age]]&lt;30,"Young Adult","Middle Age"))</f>
        <v>Middle Age</v>
      </c>
      <c r="O94" s="5">
        <f t="shared" ca="1" si="1"/>
        <v>35317</v>
      </c>
      <c r="P94" s="2" t="s">
        <v>17</v>
      </c>
    </row>
    <row r="95" spans="1:16" x14ac:dyDescent="0.25">
      <c r="A95">
        <v>25512</v>
      </c>
      <c r="B95" s="2" t="s">
        <v>32</v>
      </c>
      <c r="C95" s="2" t="s">
        <v>34</v>
      </c>
      <c r="D95" s="4">
        <v>20000</v>
      </c>
      <c r="E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">
        <v>0</v>
      </c>
      <c r="G95" s="2" t="s">
        <v>26</v>
      </c>
      <c r="H95" s="2" t="s">
        <v>24</v>
      </c>
      <c r="I95" t="s">
        <v>17</v>
      </c>
      <c r="J95">
        <v>1</v>
      </c>
      <c r="K95" t="s">
        <v>21</v>
      </c>
      <c r="L95" s="2" t="s">
        <v>16</v>
      </c>
      <c r="M95" s="4">
        <v>30</v>
      </c>
      <c r="N95" s="4" t="str">
        <f>IF(Bike_Data[[#This Row],[Age]]&gt;=54,"Old",IF(Bike_Data[[#This Row],[Age]]&lt;30,"Young Adult","Middle Age"))</f>
        <v>Middle Age</v>
      </c>
      <c r="O95" s="5">
        <f t="shared" ca="1" si="1"/>
        <v>34929</v>
      </c>
      <c r="P95" s="2" t="s">
        <v>17</v>
      </c>
    </row>
    <row r="96" spans="1:16" x14ac:dyDescent="0.25">
      <c r="A96">
        <v>13620</v>
      </c>
      <c r="B96" s="2" t="s">
        <v>32</v>
      </c>
      <c r="C96" s="2" t="s">
        <v>34</v>
      </c>
      <c r="D96" s="4">
        <v>70000</v>
      </c>
      <c r="E9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">
        <v>0</v>
      </c>
      <c r="G96" s="2" t="s">
        <v>12</v>
      </c>
      <c r="H96" s="2" t="s">
        <v>20</v>
      </c>
      <c r="I96" t="s">
        <v>17</v>
      </c>
      <c r="J96">
        <v>3</v>
      </c>
      <c r="K96" t="s">
        <v>37</v>
      </c>
      <c r="L96" s="2" t="s">
        <v>23</v>
      </c>
      <c r="M96" s="4">
        <v>30</v>
      </c>
      <c r="N96" s="4" t="str">
        <f>IF(Bike_Data[[#This Row],[Age]]&gt;=54,"Old",IF(Bike_Data[[#This Row],[Age]]&lt;30,"Young Adult","Middle Age"))</f>
        <v>Middle Age</v>
      </c>
      <c r="O96" s="5">
        <f t="shared" ca="1" si="1"/>
        <v>35386</v>
      </c>
      <c r="P96" s="2" t="s">
        <v>14</v>
      </c>
    </row>
    <row r="97" spans="1:16" x14ac:dyDescent="0.25">
      <c r="A97">
        <v>23549</v>
      </c>
      <c r="B97" s="2" t="s">
        <v>32</v>
      </c>
      <c r="C97" s="2" t="s">
        <v>34</v>
      </c>
      <c r="D97" s="4">
        <v>30000</v>
      </c>
      <c r="E9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7">
        <v>0</v>
      </c>
      <c r="G97" s="2" t="s">
        <v>26</v>
      </c>
      <c r="H97" s="2" t="s">
        <v>13</v>
      </c>
      <c r="I97" t="s">
        <v>14</v>
      </c>
      <c r="J97">
        <v>2</v>
      </c>
      <c r="K97" t="s">
        <v>22</v>
      </c>
      <c r="L97" s="2" t="s">
        <v>30</v>
      </c>
      <c r="M97" s="4">
        <v>30</v>
      </c>
      <c r="N97" s="4" t="str">
        <f>IF(Bike_Data[[#This Row],[Age]]&gt;=54,"Old",IF(Bike_Data[[#This Row],[Age]]&lt;30,"Young Adult","Middle Age"))</f>
        <v>Middle Age</v>
      </c>
      <c r="O97" s="5">
        <f t="shared" ca="1" si="1"/>
        <v>37461</v>
      </c>
      <c r="P97" s="2" t="s">
        <v>17</v>
      </c>
    </row>
    <row r="98" spans="1:16" x14ac:dyDescent="0.25">
      <c r="A98">
        <v>15814</v>
      </c>
      <c r="B98" s="2" t="s">
        <v>32</v>
      </c>
      <c r="C98" s="2" t="s">
        <v>33</v>
      </c>
      <c r="D98" s="4">
        <v>40000</v>
      </c>
      <c r="E9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">
        <v>0</v>
      </c>
      <c r="G98" s="2" t="s">
        <v>26</v>
      </c>
      <c r="H98" s="2" t="s">
        <v>13</v>
      </c>
      <c r="I98" t="s">
        <v>14</v>
      </c>
      <c r="J98">
        <v>1</v>
      </c>
      <c r="K98" t="s">
        <v>22</v>
      </c>
      <c r="L98" s="2" t="s">
        <v>30</v>
      </c>
      <c r="M98" s="4">
        <v>30</v>
      </c>
      <c r="N98" s="4" t="str">
        <f>IF(Bike_Data[[#This Row],[Age]]&gt;=54,"Old",IF(Bike_Data[[#This Row],[Age]]&lt;30,"Young Adult","Middle Age"))</f>
        <v>Middle Age</v>
      </c>
      <c r="O98" s="5">
        <f t="shared" ca="1" si="1"/>
        <v>36347</v>
      </c>
      <c r="P98" s="2" t="s">
        <v>17</v>
      </c>
    </row>
    <row r="99" spans="1:16" x14ac:dyDescent="0.25">
      <c r="A99">
        <v>27753</v>
      </c>
      <c r="B99" s="2" t="s">
        <v>31</v>
      </c>
      <c r="C99" s="2" t="s">
        <v>34</v>
      </c>
      <c r="D99" s="4">
        <v>40000</v>
      </c>
      <c r="E9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9">
        <v>0</v>
      </c>
      <c r="G99" s="2" t="s">
        <v>26</v>
      </c>
      <c r="H99" s="2" t="s">
        <v>13</v>
      </c>
      <c r="I99" t="s">
        <v>17</v>
      </c>
      <c r="J99">
        <v>2</v>
      </c>
      <c r="K99" t="s">
        <v>25</v>
      </c>
      <c r="L99" s="2" t="s">
        <v>30</v>
      </c>
      <c r="M99" s="4">
        <v>30</v>
      </c>
      <c r="N99" s="4" t="str">
        <f>IF(Bike_Data[[#This Row],[Age]]&gt;=54,"Old",IF(Bike_Data[[#This Row],[Age]]&lt;30,"Young Adult","Middle Age"))</f>
        <v>Middle Age</v>
      </c>
      <c r="O99" s="5">
        <f t="shared" ca="1" si="1"/>
        <v>27720</v>
      </c>
      <c r="P99" s="2" t="s">
        <v>17</v>
      </c>
    </row>
    <row r="100" spans="1:16" x14ac:dyDescent="0.25">
      <c r="A100">
        <v>15272</v>
      </c>
      <c r="B100" s="2" t="s">
        <v>32</v>
      </c>
      <c r="C100" s="2" t="s">
        <v>34</v>
      </c>
      <c r="D100" s="4">
        <v>40000</v>
      </c>
      <c r="E1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0">
        <v>0</v>
      </c>
      <c r="G100" s="2" t="s">
        <v>26</v>
      </c>
      <c r="H100" s="2" t="s">
        <v>13</v>
      </c>
      <c r="I100" t="s">
        <v>17</v>
      </c>
      <c r="J100">
        <v>2</v>
      </c>
      <c r="K100" t="s">
        <v>25</v>
      </c>
      <c r="L100" s="2" t="s">
        <v>30</v>
      </c>
      <c r="M100" s="4">
        <v>30</v>
      </c>
      <c r="N100" s="4" t="str">
        <f>IF(Bike_Data[[#This Row],[Age]]&gt;=54,"Old",IF(Bike_Data[[#This Row],[Age]]&lt;30,"Young Adult","Middle Age"))</f>
        <v>Middle Age</v>
      </c>
      <c r="O100" s="5">
        <f t="shared" ca="1" si="1"/>
        <v>34266</v>
      </c>
      <c r="P100" s="2" t="s">
        <v>17</v>
      </c>
    </row>
    <row r="101" spans="1:16" x14ac:dyDescent="0.25">
      <c r="A101">
        <v>21260</v>
      </c>
      <c r="B101" s="2" t="s">
        <v>32</v>
      </c>
      <c r="C101" s="2" t="s">
        <v>33</v>
      </c>
      <c r="D101" s="4">
        <v>40000</v>
      </c>
      <c r="E1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1">
        <v>0</v>
      </c>
      <c r="G101" s="2" t="s">
        <v>26</v>
      </c>
      <c r="H101" s="2" t="s">
        <v>13</v>
      </c>
      <c r="I101" t="s">
        <v>14</v>
      </c>
      <c r="J101">
        <v>2</v>
      </c>
      <c r="K101" t="s">
        <v>22</v>
      </c>
      <c r="L101" s="2" t="s">
        <v>30</v>
      </c>
      <c r="M101" s="4">
        <v>30</v>
      </c>
      <c r="N101" s="4" t="str">
        <f>IF(Bike_Data[[#This Row],[Age]]&gt;=54,"Old",IF(Bike_Data[[#This Row],[Age]]&lt;30,"Young Adult","Middle Age"))</f>
        <v>Middle Age</v>
      </c>
      <c r="O101" s="5">
        <f t="shared" ca="1" si="1"/>
        <v>32793</v>
      </c>
      <c r="P101" s="2" t="s">
        <v>17</v>
      </c>
    </row>
    <row r="102" spans="1:16" x14ac:dyDescent="0.25">
      <c r="A102">
        <v>18910</v>
      </c>
      <c r="B102" s="2" t="s">
        <v>32</v>
      </c>
      <c r="C102" s="2" t="s">
        <v>34</v>
      </c>
      <c r="D102" s="4">
        <v>30000</v>
      </c>
      <c r="E10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2">
        <v>0</v>
      </c>
      <c r="G102" s="2" t="s">
        <v>18</v>
      </c>
      <c r="H102" s="2" t="s">
        <v>13</v>
      </c>
      <c r="I102" t="s">
        <v>14</v>
      </c>
      <c r="J102">
        <v>2</v>
      </c>
      <c r="K102" t="s">
        <v>22</v>
      </c>
      <c r="L102" s="2" t="s">
        <v>30</v>
      </c>
      <c r="M102" s="4">
        <v>30</v>
      </c>
      <c r="N102" s="4" t="str">
        <f>IF(Bike_Data[[#This Row],[Age]]&gt;=54,"Old",IF(Bike_Data[[#This Row],[Age]]&lt;30,"Young Adult","Middle Age"))</f>
        <v>Middle Age</v>
      </c>
      <c r="O102" s="5">
        <f t="shared" ca="1" si="1"/>
        <v>36097</v>
      </c>
      <c r="P102" s="2" t="s">
        <v>17</v>
      </c>
    </row>
    <row r="103" spans="1:16" x14ac:dyDescent="0.25">
      <c r="A103">
        <v>11699</v>
      </c>
      <c r="B103" s="2" t="s">
        <v>32</v>
      </c>
      <c r="C103" s="2" t="s">
        <v>34</v>
      </c>
      <c r="D103" s="4">
        <v>60000</v>
      </c>
      <c r="E10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03">
        <v>0</v>
      </c>
      <c r="G103" s="2" t="s">
        <v>12</v>
      </c>
      <c r="H103" s="2" t="s">
        <v>13</v>
      </c>
      <c r="I103" t="s">
        <v>17</v>
      </c>
      <c r="J103">
        <v>2</v>
      </c>
      <c r="K103" t="s">
        <v>15</v>
      </c>
      <c r="L103" s="2" t="s">
        <v>30</v>
      </c>
      <c r="M103" s="4">
        <v>30</v>
      </c>
      <c r="N103" s="4" t="str">
        <f>IF(Bike_Data[[#This Row],[Age]]&gt;=54,"Old",IF(Bike_Data[[#This Row],[Age]]&lt;30,"Young Adult","Middle Age"))</f>
        <v>Middle Age</v>
      </c>
      <c r="O103" s="5">
        <f t="shared" ca="1" si="1"/>
        <v>26524</v>
      </c>
      <c r="P103" s="2" t="s">
        <v>17</v>
      </c>
    </row>
    <row r="104" spans="1:16" x14ac:dyDescent="0.25">
      <c r="A104">
        <v>29112</v>
      </c>
      <c r="B104" s="2" t="s">
        <v>32</v>
      </c>
      <c r="C104" s="2" t="s">
        <v>34</v>
      </c>
      <c r="D104" s="4">
        <v>60000</v>
      </c>
      <c r="E10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04">
        <v>0</v>
      </c>
      <c r="G104" s="2" t="s">
        <v>18</v>
      </c>
      <c r="H104" s="2" t="s">
        <v>20</v>
      </c>
      <c r="I104" t="s">
        <v>17</v>
      </c>
      <c r="J104">
        <v>2</v>
      </c>
      <c r="K104" t="s">
        <v>25</v>
      </c>
      <c r="L104" s="2" t="s">
        <v>30</v>
      </c>
      <c r="M104" s="4">
        <v>30</v>
      </c>
      <c r="N104" s="4" t="str">
        <f>IF(Bike_Data[[#This Row],[Age]]&gt;=54,"Old",IF(Bike_Data[[#This Row],[Age]]&lt;30,"Young Adult","Middle Age"))</f>
        <v>Middle Age</v>
      </c>
      <c r="O104" s="5">
        <f t="shared" ca="1" si="1"/>
        <v>30470</v>
      </c>
      <c r="P104" s="2" t="s">
        <v>17</v>
      </c>
    </row>
    <row r="105" spans="1:16" x14ac:dyDescent="0.25">
      <c r="A105">
        <v>17657</v>
      </c>
      <c r="B105" s="2" t="s">
        <v>31</v>
      </c>
      <c r="C105" s="2" t="s">
        <v>34</v>
      </c>
      <c r="D105" s="4">
        <v>40000</v>
      </c>
      <c r="E10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5">
        <v>4</v>
      </c>
      <c r="G105" s="2" t="s">
        <v>18</v>
      </c>
      <c r="H105" s="2" t="s">
        <v>19</v>
      </c>
      <c r="I105" t="s">
        <v>17</v>
      </c>
      <c r="J105">
        <v>0</v>
      </c>
      <c r="K105" t="s">
        <v>15</v>
      </c>
      <c r="L105" s="2" t="s">
        <v>30</v>
      </c>
      <c r="M105" s="4">
        <v>30</v>
      </c>
      <c r="N105" s="4" t="str">
        <f>IF(Bike_Data[[#This Row],[Age]]&gt;=54,"Old",IF(Bike_Data[[#This Row],[Age]]&lt;30,"Young Adult","Middle Age"))</f>
        <v>Middle Age</v>
      </c>
      <c r="O105" s="5">
        <f t="shared" ca="1" si="1"/>
        <v>35990</v>
      </c>
      <c r="P105" s="2" t="s">
        <v>17</v>
      </c>
    </row>
    <row r="106" spans="1:16" x14ac:dyDescent="0.25">
      <c r="A106">
        <v>14077</v>
      </c>
      <c r="B106" s="2" t="s">
        <v>32</v>
      </c>
      <c r="C106" s="2" t="s">
        <v>34</v>
      </c>
      <c r="D106" s="4">
        <v>30000</v>
      </c>
      <c r="E10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6">
        <v>0</v>
      </c>
      <c r="G106" s="2" t="s">
        <v>26</v>
      </c>
      <c r="H106" s="2" t="s">
        <v>13</v>
      </c>
      <c r="I106" t="s">
        <v>14</v>
      </c>
      <c r="J106">
        <v>2</v>
      </c>
      <c r="K106" t="s">
        <v>22</v>
      </c>
      <c r="L106" s="2" t="s">
        <v>30</v>
      </c>
      <c r="M106" s="4">
        <v>30</v>
      </c>
      <c r="N106" s="4" t="str">
        <f>IF(Bike_Data[[#This Row],[Age]]&gt;=54,"Old",IF(Bike_Data[[#This Row],[Age]]&lt;30,"Young Adult","Middle Age"))</f>
        <v>Middle Age</v>
      </c>
      <c r="O106" s="5">
        <f t="shared" ca="1" si="1"/>
        <v>32164</v>
      </c>
      <c r="P106" s="2" t="s">
        <v>17</v>
      </c>
    </row>
    <row r="107" spans="1:16" x14ac:dyDescent="0.25">
      <c r="A107">
        <v>23333</v>
      </c>
      <c r="B107" s="2" t="s">
        <v>31</v>
      </c>
      <c r="C107" s="2" t="s">
        <v>34</v>
      </c>
      <c r="D107" s="4">
        <v>40000</v>
      </c>
      <c r="E10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7">
        <v>0</v>
      </c>
      <c r="G107" s="2" t="s">
        <v>18</v>
      </c>
      <c r="H107" s="2" t="s">
        <v>13</v>
      </c>
      <c r="I107" t="s">
        <v>17</v>
      </c>
      <c r="J107">
        <v>2</v>
      </c>
      <c r="K107" t="s">
        <v>25</v>
      </c>
      <c r="L107" s="2" t="s">
        <v>30</v>
      </c>
      <c r="M107" s="4">
        <v>30</v>
      </c>
      <c r="N107" s="4" t="str">
        <f>IF(Bike_Data[[#This Row],[Age]]&gt;=54,"Old",IF(Bike_Data[[#This Row],[Age]]&lt;30,"Young Adult","Middle Age"))</f>
        <v>Middle Age</v>
      </c>
      <c r="O107" s="5">
        <f t="shared" ca="1" si="1"/>
        <v>32167</v>
      </c>
      <c r="P107" s="2" t="s">
        <v>17</v>
      </c>
    </row>
    <row r="108" spans="1:16" x14ac:dyDescent="0.25">
      <c r="A108">
        <v>24514</v>
      </c>
      <c r="B108" s="2" t="s">
        <v>31</v>
      </c>
      <c r="C108" s="2" t="s">
        <v>34</v>
      </c>
      <c r="D108" s="4">
        <v>40000</v>
      </c>
      <c r="E10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8">
        <v>0</v>
      </c>
      <c r="G108" s="2" t="s">
        <v>18</v>
      </c>
      <c r="H108" s="2" t="s">
        <v>13</v>
      </c>
      <c r="I108" t="s">
        <v>14</v>
      </c>
      <c r="J108">
        <v>1</v>
      </c>
      <c r="K108" t="s">
        <v>22</v>
      </c>
      <c r="L108" s="2" t="s">
        <v>30</v>
      </c>
      <c r="M108" s="4">
        <v>30</v>
      </c>
      <c r="N108" s="4" t="str">
        <f>IF(Bike_Data[[#This Row],[Age]]&gt;=54,"Old",IF(Bike_Data[[#This Row],[Age]]&lt;30,"Young Adult","Middle Age"))</f>
        <v>Middle Age</v>
      </c>
      <c r="O108" s="5">
        <f t="shared" ca="1" si="1"/>
        <v>34413</v>
      </c>
      <c r="P108" s="2" t="s">
        <v>17</v>
      </c>
    </row>
    <row r="109" spans="1:16" x14ac:dyDescent="0.25">
      <c r="A109">
        <v>27505</v>
      </c>
      <c r="B109" s="2" t="s">
        <v>32</v>
      </c>
      <c r="C109" s="2" t="s">
        <v>33</v>
      </c>
      <c r="D109" s="4">
        <v>40000</v>
      </c>
      <c r="E10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9">
        <v>0</v>
      </c>
      <c r="G109" s="2" t="s">
        <v>26</v>
      </c>
      <c r="H109" s="2" t="s">
        <v>13</v>
      </c>
      <c r="I109" t="s">
        <v>14</v>
      </c>
      <c r="J109">
        <v>2</v>
      </c>
      <c r="K109" t="s">
        <v>22</v>
      </c>
      <c r="L109" s="2" t="s">
        <v>30</v>
      </c>
      <c r="M109" s="4">
        <v>30</v>
      </c>
      <c r="N109" s="4" t="str">
        <f>IF(Bike_Data[[#This Row],[Age]]&gt;=54,"Old",IF(Bike_Data[[#This Row],[Age]]&lt;30,"Young Adult","Middle Age"))</f>
        <v>Middle Age</v>
      </c>
      <c r="O109" s="5">
        <f t="shared" ca="1" si="1"/>
        <v>29070</v>
      </c>
      <c r="P109" s="2" t="s">
        <v>17</v>
      </c>
    </row>
    <row r="110" spans="1:16" x14ac:dyDescent="0.25">
      <c r="A110">
        <v>17654</v>
      </c>
      <c r="B110" s="2" t="s">
        <v>32</v>
      </c>
      <c r="C110" s="2" t="s">
        <v>33</v>
      </c>
      <c r="D110" s="4">
        <v>40000</v>
      </c>
      <c r="E11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10">
        <v>3</v>
      </c>
      <c r="G110" s="2" t="s">
        <v>18</v>
      </c>
      <c r="H110" s="2" t="s">
        <v>19</v>
      </c>
      <c r="I110" t="s">
        <v>14</v>
      </c>
      <c r="J110">
        <v>1</v>
      </c>
      <c r="K110" t="s">
        <v>25</v>
      </c>
      <c r="L110" s="2" t="s">
        <v>30</v>
      </c>
      <c r="M110" s="4">
        <v>30</v>
      </c>
      <c r="N110" s="4" t="str">
        <f>IF(Bike_Data[[#This Row],[Age]]&gt;=54,"Old",IF(Bike_Data[[#This Row],[Age]]&lt;30,"Young Adult","Middle Age"))</f>
        <v>Middle Age</v>
      </c>
      <c r="O110" s="5">
        <f t="shared" ca="1" si="1"/>
        <v>30369</v>
      </c>
      <c r="P110" s="2" t="s">
        <v>14</v>
      </c>
    </row>
    <row r="111" spans="1:16" x14ac:dyDescent="0.25">
      <c r="A111">
        <v>13073</v>
      </c>
      <c r="B111" s="2" t="s">
        <v>31</v>
      </c>
      <c r="C111" s="2" t="s">
        <v>33</v>
      </c>
      <c r="D111" s="4">
        <v>60000</v>
      </c>
      <c r="E11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11">
        <v>0</v>
      </c>
      <c r="G111" s="2" t="s">
        <v>18</v>
      </c>
      <c r="H111" s="2" t="s">
        <v>20</v>
      </c>
      <c r="I111" t="s">
        <v>14</v>
      </c>
      <c r="J111">
        <v>2</v>
      </c>
      <c r="K111" t="s">
        <v>22</v>
      </c>
      <c r="L111" s="2" t="s">
        <v>30</v>
      </c>
      <c r="M111" s="4">
        <v>30</v>
      </c>
      <c r="N111" s="4" t="str">
        <f>IF(Bike_Data[[#This Row],[Age]]&gt;=54,"Old",IF(Bike_Data[[#This Row],[Age]]&lt;30,"Young Adult","Middle Age"))</f>
        <v>Middle Age</v>
      </c>
      <c r="O111" s="5">
        <f t="shared" ca="1" si="1"/>
        <v>30266</v>
      </c>
      <c r="P111" s="2" t="s">
        <v>17</v>
      </c>
    </row>
    <row r="112" spans="1:16" x14ac:dyDescent="0.25">
      <c r="A112">
        <v>20942</v>
      </c>
      <c r="B112" s="2" t="s">
        <v>32</v>
      </c>
      <c r="C112" s="2" t="s">
        <v>33</v>
      </c>
      <c r="D112" s="4">
        <v>20000</v>
      </c>
      <c r="E11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12">
        <v>0</v>
      </c>
      <c r="G112" s="2" t="s">
        <v>26</v>
      </c>
      <c r="H112" s="2" t="s">
        <v>24</v>
      </c>
      <c r="I112" t="s">
        <v>17</v>
      </c>
      <c r="J112">
        <v>1</v>
      </c>
      <c r="K112" t="s">
        <v>22</v>
      </c>
      <c r="L112" s="2" t="s">
        <v>16</v>
      </c>
      <c r="M112" s="4">
        <v>31</v>
      </c>
      <c r="N112" s="4" t="str">
        <f>IF(Bike_Data[[#This Row],[Age]]&gt;=54,"Old",IF(Bike_Data[[#This Row],[Age]]&lt;30,"Young Adult","Middle Age"))</f>
        <v>Middle Age</v>
      </c>
      <c r="O112" s="5">
        <f t="shared" ca="1" si="1"/>
        <v>31339</v>
      </c>
      <c r="P112" s="2" t="s">
        <v>17</v>
      </c>
    </row>
    <row r="113" spans="1:16" x14ac:dyDescent="0.25">
      <c r="A113">
        <v>12678</v>
      </c>
      <c r="B113" s="2" t="s">
        <v>32</v>
      </c>
      <c r="C113" s="2" t="s">
        <v>33</v>
      </c>
      <c r="D113" s="4">
        <v>130000</v>
      </c>
      <c r="E11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113">
        <v>4</v>
      </c>
      <c r="G113" s="2" t="s">
        <v>26</v>
      </c>
      <c r="H113" s="2" t="s">
        <v>27</v>
      </c>
      <c r="I113" t="s">
        <v>14</v>
      </c>
      <c r="J113">
        <v>4</v>
      </c>
      <c r="K113" t="s">
        <v>15</v>
      </c>
      <c r="L113" s="2" t="s">
        <v>23</v>
      </c>
      <c r="M113" s="4">
        <v>31</v>
      </c>
      <c r="N113" s="4" t="str">
        <f>IF(Bike_Data[[#This Row],[Age]]&gt;=54,"Old",IF(Bike_Data[[#This Row],[Age]]&lt;30,"Young Adult","Middle Age"))</f>
        <v>Middle Age</v>
      </c>
      <c r="O113" s="5">
        <f t="shared" ca="1" si="1"/>
        <v>30512</v>
      </c>
      <c r="P113" s="2" t="s">
        <v>17</v>
      </c>
    </row>
    <row r="114" spans="1:16" x14ac:dyDescent="0.25">
      <c r="A114">
        <v>12344</v>
      </c>
      <c r="B114" s="2" t="s">
        <v>32</v>
      </c>
      <c r="C114" s="2" t="s">
        <v>33</v>
      </c>
      <c r="D114" s="4">
        <v>80000</v>
      </c>
      <c r="E11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14">
        <v>0</v>
      </c>
      <c r="G114" s="2" t="s">
        <v>12</v>
      </c>
      <c r="H114" s="2" t="s">
        <v>20</v>
      </c>
      <c r="I114" t="s">
        <v>17</v>
      </c>
      <c r="J114">
        <v>3</v>
      </c>
      <c r="K114" t="s">
        <v>37</v>
      </c>
      <c r="L114" s="2" t="s">
        <v>23</v>
      </c>
      <c r="M114" s="4">
        <v>31</v>
      </c>
      <c r="N114" s="4" t="str">
        <f>IF(Bike_Data[[#This Row],[Age]]&gt;=54,"Old",IF(Bike_Data[[#This Row],[Age]]&lt;30,"Young Adult","Middle Age"))</f>
        <v>Middle Age</v>
      </c>
      <c r="O114" s="5">
        <f t="shared" ca="1" si="1"/>
        <v>31093</v>
      </c>
      <c r="P114" s="2" t="s">
        <v>17</v>
      </c>
    </row>
    <row r="115" spans="1:16" x14ac:dyDescent="0.25">
      <c r="A115">
        <v>24584</v>
      </c>
      <c r="B115" s="2" t="s">
        <v>32</v>
      </c>
      <c r="C115" s="2" t="s">
        <v>34</v>
      </c>
      <c r="D115" s="4">
        <v>60000</v>
      </c>
      <c r="E11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15">
        <v>0</v>
      </c>
      <c r="G115" s="2" t="s">
        <v>12</v>
      </c>
      <c r="H115" s="2" t="s">
        <v>20</v>
      </c>
      <c r="I115" t="s">
        <v>17</v>
      </c>
      <c r="J115">
        <v>3</v>
      </c>
      <c r="K115" t="s">
        <v>21</v>
      </c>
      <c r="L115" s="2" t="s">
        <v>23</v>
      </c>
      <c r="M115" s="4">
        <v>31</v>
      </c>
      <c r="N115" s="4" t="str">
        <f>IF(Bike_Data[[#This Row],[Age]]&gt;=54,"Old",IF(Bike_Data[[#This Row],[Age]]&lt;30,"Young Adult","Middle Age"))</f>
        <v>Middle Age</v>
      </c>
      <c r="O115" s="5">
        <f t="shared" ca="1" si="1"/>
        <v>27844</v>
      </c>
      <c r="P115" s="2" t="s">
        <v>17</v>
      </c>
    </row>
    <row r="116" spans="1:16" x14ac:dyDescent="0.25">
      <c r="A116">
        <v>11451</v>
      </c>
      <c r="B116" s="2" t="s">
        <v>32</v>
      </c>
      <c r="C116" s="2" t="s">
        <v>34</v>
      </c>
      <c r="D116" s="4">
        <v>70000</v>
      </c>
      <c r="E11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16">
        <v>0</v>
      </c>
      <c r="G116" s="2" t="s">
        <v>12</v>
      </c>
      <c r="H116" s="2" t="s">
        <v>20</v>
      </c>
      <c r="I116" t="s">
        <v>17</v>
      </c>
      <c r="J116">
        <v>4</v>
      </c>
      <c r="K116" t="s">
        <v>37</v>
      </c>
      <c r="L116" s="2" t="s">
        <v>23</v>
      </c>
      <c r="M116" s="4">
        <v>31</v>
      </c>
      <c r="N116" s="4" t="str">
        <f>IF(Bike_Data[[#This Row],[Age]]&gt;=54,"Old",IF(Bike_Data[[#This Row],[Age]]&lt;30,"Young Adult","Middle Age"))</f>
        <v>Middle Age</v>
      </c>
      <c r="O116" s="5">
        <f t="shared" ca="1" si="1"/>
        <v>31957</v>
      </c>
      <c r="P116" s="2" t="s">
        <v>14</v>
      </c>
    </row>
    <row r="117" spans="1:16" x14ac:dyDescent="0.25">
      <c r="A117">
        <v>12666</v>
      </c>
      <c r="B117" s="2" t="s">
        <v>32</v>
      </c>
      <c r="C117" s="2" t="s">
        <v>34</v>
      </c>
      <c r="D117" s="4">
        <v>60000</v>
      </c>
      <c r="E11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17">
        <v>0</v>
      </c>
      <c r="G117" s="2" t="s">
        <v>12</v>
      </c>
      <c r="H117" s="2" t="s">
        <v>20</v>
      </c>
      <c r="I117" t="s">
        <v>17</v>
      </c>
      <c r="J117">
        <v>4</v>
      </c>
      <c r="K117" t="s">
        <v>21</v>
      </c>
      <c r="L117" s="2" t="s">
        <v>23</v>
      </c>
      <c r="M117" s="4">
        <v>31</v>
      </c>
      <c r="N117" s="4" t="str">
        <f>IF(Bike_Data[[#This Row],[Age]]&gt;=54,"Old",IF(Bike_Data[[#This Row],[Age]]&lt;30,"Young Adult","Middle Age"))</f>
        <v>Middle Age</v>
      </c>
      <c r="O117" s="5">
        <f t="shared" ca="1" si="1"/>
        <v>27494</v>
      </c>
      <c r="P117" s="2" t="s">
        <v>17</v>
      </c>
    </row>
    <row r="118" spans="1:16" x14ac:dyDescent="0.25">
      <c r="A118">
        <v>17848</v>
      </c>
      <c r="B118" s="2" t="s">
        <v>32</v>
      </c>
      <c r="C118" s="2" t="s">
        <v>34</v>
      </c>
      <c r="D118" s="4">
        <v>30000</v>
      </c>
      <c r="E11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18">
        <v>0</v>
      </c>
      <c r="G118" s="2" t="s">
        <v>18</v>
      </c>
      <c r="H118" s="2" t="s">
        <v>19</v>
      </c>
      <c r="I118" t="s">
        <v>17</v>
      </c>
      <c r="J118">
        <v>1</v>
      </c>
      <c r="K118" t="s">
        <v>21</v>
      </c>
      <c r="L118" s="2" t="s">
        <v>16</v>
      </c>
      <c r="M118" s="4">
        <v>31</v>
      </c>
      <c r="N118" s="4" t="str">
        <f>IF(Bike_Data[[#This Row],[Age]]&gt;=54,"Old",IF(Bike_Data[[#This Row],[Age]]&lt;30,"Young Adult","Middle Age"))</f>
        <v>Middle Age</v>
      </c>
      <c r="O118" s="5">
        <f t="shared" ca="1" si="1"/>
        <v>28634</v>
      </c>
      <c r="P118" s="2" t="s">
        <v>14</v>
      </c>
    </row>
    <row r="119" spans="1:16" x14ac:dyDescent="0.25">
      <c r="A119">
        <v>12718</v>
      </c>
      <c r="B119" s="2" t="s">
        <v>32</v>
      </c>
      <c r="C119" s="2" t="s">
        <v>33</v>
      </c>
      <c r="D119" s="4">
        <v>30000</v>
      </c>
      <c r="E11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19">
        <v>0</v>
      </c>
      <c r="G119" s="2" t="s">
        <v>18</v>
      </c>
      <c r="H119" s="2" t="s">
        <v>19</v>
      </c>
      <c r="I119" t="s">
        <v>14</v>
      </c>
      <c r="J119">
        <v>1</v>
      </c>
      <c r="K119" t="s">
        <v>21</v>
      </c>
      <c r="L119" s="2" t="s">
        <v>16</v>
      </c>
      <c r="M119" s="4">
        <v>31</v>
      </c>
      <c r="N119" s="4" t="str">
        <f>IF(Bike_Data[[#This Row],[Age]]&gt;=54,"Old",IF(Bike_Data[[#This Row],[Age]]&lt;30,"Young Adult","Middle Age"))</f>
        <v>Middle Age</v>
      </c>
      <c r="O119" s="5">
        <f t="shared" ca="1" si="1"/>
        <v>27506</v>
      </c>
      <c r="P119" s="2" t="s">
        <v>17</v>
      </c>
    </row>
    <row r="120" spans="1:16" x14ac:dyDescent="0.25">
      <c r="A120">
        <v>13662</v>
      </c>
      <c r="B120" s="2" t="s">
        <v>32</v>
      </c>
      <c r="C120" s="2" t="s">
        <v>34</v>
      </c>
      <c r="D120" s="4">
        <v>20000</v>
      </c>
      <c r="E12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0">
        <v>0</v>
      </c>
      <c r="G120" s="2" t="s">
        <v>28</v>
      </c>
      <c r="H120" s="2" t="s">
        <v>24</v>
      </c>
      <c r="I120" t="s">
        <v>14</v>
      </c>
      <c r="J120">
        <v>2</v>
      </c>
      <c r="K120" t="s">
        <v>25</v>
      </c>
      <c r="L120" s="2" t="s">
        <v>16</v>
      </c>
      <c r="M120" s="4">
        <v>31</v>
      </c>
      <c r="N120" s="4" t="str">
        <f>IF(Bike_Data[[#This Row],[Age]]&gt;=54,"Old",IF(Bike_Data[[#This Row],[Age]]&lt;30,"Young Adult","Middle Age"))</f>
        <v>Middle Age</v>
      </c>
      <c r="O120" s="5">
        <f t="shared" ca="1" si="1"/>
        <v>29778</v>
      </c>
      <c r="P120" s="2" t="s">
        <v>14</v>
      </c>
    </row>
    <row r="121" spans="1:16" x14ac:dyDescent="0.25">
      <c r="A121">
        <v>25681</v>
      </c>
      <c r="B121" s="2" t="s">
        <v>32</v>
      </c>
      <c r="C121" s="2" t="s">
        <v>33</v>
      </c>
      <c r="D121" s="4">
        <v>30000</v>
      </c>
      <c r="E12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1">
        <v>0</v>
      </c>
      <c r="G121" s="2" t="s">
        <v>18</v>
      </c>
      <c r="H121" s="2" t="s">
        <v>19</v>
      </c>
      <c r="I121" t="s">
        <v>17</v>
      </c>
      <c r="J121">
        <v>1</v>
      </c>
      <c r="K121" t="s">
        <v>21</v>
      </c>
      <c r="L121" s="2" t="s">
        <v>16</v>
      </c>
      <c r="M121" s="4">
        <v>31</v>
      </c>
      <c r="N121" s="4" t="str">
        <f>IF(Bike_Data[[#This Row],[Age]]&gt;=54,"Old",IF(Bike_Data[[#This Row],[Age]]&lt;30,"Young Adult","Middle Age"))</f>
        <v>Middle Age</v>
      </c>
      <c r="O121" s="5">
        <f t="shared" ca="1" si="1"/>
        <v>33906</v>
      </c>
      <c r="P121" s="2" t="s">
        <v>14</v>
      </c>
    </row>
    <row r="122" spans="1:16" x14ac:dyDescent="0.25">
      <c r="A122">
        <v>26238</v>
      </c>
      <c r="B122" s="2" t="s">
        <v>32</v>
      </c>
      <c r="C122" s="2" t="s">
        <v>33</v>
      </c>
      <c r="D122" s="4">
        <v>40000</v>
      </c>
      <c r="E12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2">
        <v>3</v>
      </c>
      <c r="G122" s="2" t="s">
        <v>18</v>
      </c>
      <c r="H122" s="2" t="s">
        <v>19</v>
      </c>
      <c r="I122" t="s">
        <v>14</v>
      </c>
      <c r="J122">
        <v>1</v>
      </c>
      <c r="K122" t="s">
        <v>25</v>
      </c>
      <c r="L122" s="2" t="s">
        <v>30</v>
      </c>
      <c r="M122" s="4">
        <v>31</v>
      </c>
      <c r="N122" s="4" t="str">
        <f>IF(Bike_Data[[#This Row],[Age]]&gt;=54,"Old",IF(Bike_Data[[#This Row],[Age]]&lt;30,"Young Adult","Middle Age"))</f>
        <v>Middle Age</v>
      </c>
      <c r="O122" s="5">
        <f t="shared" ca="1" si="1"/>
        <v>28769</v>
      </c>
      <c r="P122" s="2" t="s">
        <v>14</v>
      </c>
    </row>
    <row r="123" spans="1:16" x14ac:dyDescent="0.25">
      <c r="A123">
        <v>26575</v>
      </c>
      <c r="B123" s="2" t="s">
        <v>32</v>
      </c>
      <c r="C123" s="2" t="s">
        <v>33</v>
      </c>
      <c r="D123" s="4">
        <v>40000</v>
      </c>
      <c r="E12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3">
        <v>0</v>
      </c>
      <c r="G123" s="2" t="s">
        <v>26</v>
      </c>
      <c r="H123" s="2" t="s">
        <v>13</v>
      </c>
      <c r="I123" t="s">
        <v>17</v>
      </c>
      <c r="J123">
        <v>2</v>
      </c>
      <c r="K123" t="s">
        <v>25</v>
      </c>
      <c r="L123" s="2" t="s">
        <v>30</v>
      </c>
      <c r="M123" s="4">
        <v>31</v>
      </c>
      <c r="N123" s="4" t="str">
        <f>IF(Bike_Data[[#This Row],[Age]]&gt;=54,"Old",IF(Bike_Data[[#This Row],[Age]]&lt;30,"Young Adult","Middle Age"))</f>
        <v>Middle Age</v>
      </c>
      <c r="O123" s="5">
        <f t="shared" ca="1" si="1"/>
        <v>36233</v>
      </c>
      <c r="P123" s="2" t="s">
        <v>14</v>
      </c>
    </row>
    <row r="124" spans="1:16" x14ac:dyDescent="0.25">
      <c r="A124">
        <v>24725</v>
      </c>
      <c r="B124" s="2" t="s">
        <v>31</v>
      </c>
      <c r="C124" s="2" t="s">
        <v>33</v>
      </c>
      <c r="D124" s="4">
        <v>40000</v>
      </c>
      <c r="E12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4">
        <v>3</v>
      </c>
      <c r="G124" s="2" t="s">
        <v>18</v>
      </c>
      <c r="H124" s="2" t="s">
        <v>19</v>
      </c>
      <c r="I124" t="s">
        <v>14</v>
      </c>
      <c r="J124">
        <v>0</v>
      </c>
      <c r="K124" t="s">
        <v>25</v>
      </c>
      <c r="L124" s="2" t="s">
        <v>30</v>
      </c>
      <c r="M124" s="4">
        <v>31</v>
      </c>
      <c r="N124" s="4" t="str">
        <f>IF(Bike_Data[[#This Row],[Age]]&gt;=54,"Old",IF(Bike_Data[[#This Row],[Age]]&lt;30,"Young Adult","Middle Age"))</f>
        <v>Middle Age</v>
      </c>
      <c r="O124" s="5">
        <f t="shared" ca="1" si="1"/>
        <v>28317</v>
      </c>
      <c r="P124" s="2" t="s">
        <v>17</v>
      </c>
    </row>
    <row r="125" spans="1:16" x14ac:dyDescent="0.25">
      <c r="A125">
        <v>18752</v>
      </c>
      <c r="B125" s="2" t="s">
        <v>32</v>
      </c>
      <c r="C125" s="2" t="s">
        <v>33</v>
      </c>
      <c r="D125" s="4">
        <v>40000</v>
      </c>
      <c r="E12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5">
        <v>0</v>
      </c>
      <c r="G125" s="2" t="s">
        <v>26</v>
      </c>
      <c r="H125" s="2" t="s">
        <v>13</v>
      </c>
      <c r="I125" t="s">
        <v>14</v>
      </c>
      <c r="J125">
        <v>1</v>
      </c>
      <c r="K125" t="s">
        <v>22</v>
      </c>
      <c r="L125" s="2" t="s">
        <v>30</v>
      </c>
      <c r="M125" s="4">
        <v>31</v>
      </c>
      <c r="N125" s="4" t="str">
        <f>IF(Bike_Data[[#This Row],[Age]]&gt;=54,"Old",IF(Bike_Data[[#This Row],[Age]]&lt;30,"Young Adult","Middle Age"))</f>
        <v>Middle Age</v>
      </c>
      <c r="O125" s="5">
        <f t="shared" ca="1" si="1"/>
        <v>29993</v>
      </c>
      <c r="P125" s="2" t="s">
        <v>17</v>
      </c>
    </row>
    <row r="126" spans="1:16" x14ac:dyDescent="0.25">
      <c r="A126">
        <v>22010</v>
      </c>
      <c r="B126" s="2" t="s">
        <v>32</v>
      </c>
      <c r="C126" s="2" t="s">
        <v>34</v>
      </c>
      <c r="D126" s="4">
        <v>40000</v>
      </c>
      <c r="E12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6">
        <v>0</v>
      </c>
      <c r="G126" s="2" t="s">
        <v>26</v>
      </c>
      <c r="H126" s="2" t="s">
        <v>13</v>
      </c>
      <c r="I126" t="s">
        <v>14</v>
      </c>
      <c r="J126">
        <v>2</v>
      </c>
      <c r="K126" t="s">
        <v>22</v>
      </c>
      <c r="L126" s="2" t="s">
        <v>30</v>
      </c>
      <c r="M126" s="4">
        <v>31</v>
      </c>
      <c r="N126" s="4" t="str">
        <f>IF(Bike_Data[[#This Row],[Age]]&gt;=54,"Old",IF(Bike_Data[[#This Row],[Age]]&lt;30,"Young Adult","Middle Age"))</f>
        <v>Middle Age</v>
      </c>
      <c r="O126" s="5">
        <f t="shared" ca="1" si="1"/>
        <v>35587</v>
      </c>
      <c r="P126" s="2" t="s">
        <v>17</v>
      </c>
    </row>
    <row r="127" spans="1:16" x14ac:dyDescent="0.25">
      <c r="A127">
        <v>13066</v>
      </c>
      <c r="B127" s="2" t="s">
        <v>32</v>
      </c>
      <c r="C127" s="2" t="s">
        <v>34</v>
      </c>
      <c r="D127" s="4">
        <v>30000</v>
      </c>
      <c r="E12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7">
        <v>0</v>
      </c>
      <c r="G127" s="2" t="s">
        <v>26</v>
      </c>
      <c r="H127" s="2" t="s">
        <v>13</v>
      </c>
      <c r="I127" t="s">
        <v>17</v>
      </c>
      <c r="J127">
        <v>2</v>
      </c>
      <c r="K127" t="s">
        <v>25</v>
      </c>
      <c r="L127" s="2" t="s">
        <v>30</v>
      </c>
      <c r="M127" s="4">
        <v>31</v>
      </c>
      <c r="N127" s="4" t="str">
        <f>IF(Bike_Data[[#This Row],[Age]]&gt;=54,"Old",IF(Bike_Data[[#This Row],[Age]]&lt;30,"Young Adult","Middle Age"))</f>
        <v>Middle Age</v>
      </c>
      <c r="O127" s="5">
        <f t="shared" ca="1" si="1"/>
        <v>34489</v>
      </c>
      <c r="P127" s="2" t="s">
        <v>14</v>
      </c>
    </row>
    <row r="128" spans="1:16" x14ac:dyDescent="0.25">
      <c r="A128">
        <v>29106</v>
      </c>
      <c r="B128" s="2" t="s">
        <v>32</v>
      </c>
      <c r="C128" s="2" t="s">
        <v>34</v>
      </c>
      <c r="D128" s="4">
        <v>40000</v>
      </c>
      <c r="E12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8">
        <v>0</v>
      </c>
      <c r="G128" s="2" t="s">
        <v>26</v>
      </c>
      <c r="H128" s="2" t="s">
        <v>13</v>
      </c>
      <c r="I128" t="s">
        <v>17</v>
      </c>
      <c r="J128">
        <v>2</v>
      </c>
      <c r="K128" t="s">
        <v>25</v>
      </c>
      <c r="L128" s="2" t="s">
        <v>30</v>
      </c>
      <c r="M128" s="4">
        <v>31</v>
      </c>
      <c r="N128" s="4" t="str">
        <f>IF(Bike_Data[[#This Row],[Age]]&gt;=54,"Old",IF(Bike_Data[[#This Row],[Age]]&lt;30,"Young Adult","Middle Age"))</f>
        <v>Middle Age</v>
      </c>
      <c r="O128" s="5">
        <f t="shared" ca="1" si="1"/>
        <v>36352</v>
      </c>
      <c r="P128" s="2" t="s">
        <v>14</v>
      </c>
    </row>
    <row r="129" spans="1:16" x14ac:dyDescent="0.25">
      <c r="A129">
        <v>26236</v>
      </c>
      <c r="B129" s="2" t="s">
        <v>31</v>
      </c>
      <c r="C129" s="2" t="s">
        <v>33</v>
      </c>
      <c r="D129" s="4">
        <v>40000</v>
      </c>
      <c r="E12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29">
        <v>3</v>
      </c>
      <c r="G129" s="2" t="s">
        <v>18</v>
      </c>
      <c r="H129" s="2" t="s">
        <v>19</v>
      </c>
      <c r="I129" t="s">
        <v>14</v>
      </c>
      <c r="J129">
        <v>1</v>
      </c>
      <c r="K129" t="s">
        <v>15</v>
      </c>
      <c r="L129" s="2" t="s">
        <v>30</v>
      </c>
      <c r="M129" s="4">
        <v>31</v>
      </c>
      <c r="N129" s="4" t="str">
        <f>IF(Bike_Data[[#This Row],[Age]]&gt;=54,"Old",IF(Bike_Data[[#This Row],[Age]]&lt;30,"Young Adult","Middle Age"))</f>
        <v>Middle Age</v>
      </c>
      <c r="O129" s="5">
        <f t="shared" ca="1" si="1"/>
        <v>26979</v>
      </c>
      <c r="P129" s="2" t="s">
        <v>17</v>
      </c>
    </row>
    <row r="130" spans="1:16" x14ac:dyDescent="0.25">
      <c r="A130">
        <v>19634</v>
      </c>
      <c r="B130" s="2" t="s">
        <v>31</v>
      </c>
      <c r="C130" s="2" t="s">
        <v>34</v>
      </c>
      <c r="D130" s="4">
        <v>40000</v>
      </c>
      <c r="E1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0">
        <v>0</v>
      </c>
      <c r="G130" s="2" t="s">
        <v>26</v>
      </c>
      <c r="H130" s="2" t="s">
        <v>13</v>
      </c>
      <c r="I130" t="s">
        <v>14</v>
      </c>
      <c r="J130">
        <v>1</v>
      </c>
      <c r="K130" t="s">
        <v>22</v>
      </c>
      <c r="L130" s="2" t="s">
        <v>30</v>
      </c>
      <c r="M130" s="4">
        <v>31</v>
      </c>
      <c r="N130" s="4" t="str">
        <f>IF(Bike_Data[[#This Row],[Age]]&gt;=54,"Old",IF(Bike_Data[[#This Row],[Age]]&lt;30,"Young Adult","Middle Age"))</f>
        <v>Middle Age</v>
      </c>
      <c r="O130" s="5">
        <f t="shared" ca="1" si="1"/>
        <v>28744</v>
      </c>
      <c r="P130" s="2" t="s">
        <v>17</v>
      </c>
    </row>
    <row r="131" spans="1:16" x14ac:dyDescent="0.25">
      <c r="A131">
        <v>26778</v>
      </c>
      <c r="B131" s="2" t="s">
        <v>32</v>
      </c>
      <c r="C131" s="2" t="s">
        <v>33</v>
      </c>
      <c r="D131" s="4">
        <v>40000</v>
      </c>
      <c r="E13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1">
        <v>0</v>
      </c>
      <c r="G131" s="2" t="s">
        <v>26</v>
      </c>
      <c r="H131" s="2" t="s">
        <v>13</v>
      </c>
      <c r="I131" t="s">
        <v>14</v>
      </c>
      <c r="J131">
        <v>2</v>
      </c>
      <c r="K131" t="s">
        <v>22</v>
      </c>
      <c r="L131" s="2" t="s">
        <v>30</v>
      </c>
      <c r="M131" s="4">
        <v>31</v>
      </c>
      <c r="N131" s="4" t="str">
        <f>IF(Bike_Data[[#This Row],[Age]]&gt;=54,"Old",IF(Bike_Data[[#This Row],[Age]]&lt;30,"Young Adult","Middle Age"))</f>
        <v>Middle Age</v>
      </c>
      <c r="O131" s="5">
        <f t="shared" ref="O131:O194" ca="1" si="2">RANDBETWEEN(DATE(1971,1,1), DATE(2003,12,31))</f>
        <v>26355</v>
      </c>
      <c r="P131" s="2" t="s">
        <v>17</v>
      </c>
    </row>
    <row r="132" spans="1:16" x14ac:dyDescent="0.25">
      <c r="A132">
        <v>25954</v>
      </c>
      <c r="B132" s="2" t="s">
        <v>31</v>
      </c>
      <c r="C132" s="2" t="s">
        <v>34</v>
      </c>
      <c r="D132" s="4">
        <v>60000</v>
      </c>
      <c r="E13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32">
        <v>0</v>
      </c>
      <c r="G132" s="2" t="s">
        <v>18</v>
      </c>
      <c r="H132" s="2" t="s">
        <v>13</v>
      </c>
      <c r="I132" t="s">
        <v>17</v>
      </c>
      <c r="J132">
        <v>2</v>
      </c>
      <c r="K132" t="s">
        <v>25</v>
      </c>
      <c r="L132" s="2" t="s">
        <v>30</v>
      </c>
      <c r="M132" s="4">
        <v>31</v>
      </c>
      <c r="N132" s="4" t="str">
        <f>IF(Bike_Data[[#This Row],[Age]]&gt;=54,"Old",IF(Bike_Data[[#This Row],[Age]]&lt;30,"Young Adult","Middle Age"))</f>
        <v>Middle Age</v>
      </c>
      <c r="O132" s="5">
        <f t="shared" ca="1" si="2"/>
        <v>33315</v>
      </c>
      <c r="P132" s="2" t="s">
        <v>17</v>
      </c>
    </row>
    <row r="133" spans="1:16" x14ac:dyDescent="0.25">
      <c r="A133">
        <v>18347</v>
      </c>
      <c r="B133" s="2" t="s">
        <v>32</v>
      </c>
      <c r="C133" s="2" t="s">
        <v>33</v>
      </c>
      <c r="D133" s="4">
        <v>30000</v>
      </c>
      <c r="E13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3">
        <v>0</v>
      </c>
      <c r="G133" s="2" t="s">
        <v>18</v>
      </c>
      <c r="H133" s="2" t="s">
        <v>13</v>
      </c>
      <c r="I133" t="s">
        <v>17</v>
      </c>
      <c r="J133">
        <v>1</v>
      </c>
      <c r="K133" t="s">
        <v>25</v>
      </c>
      <c r="L133" s="2" t="s">
        <v>30</v>
      </c>
      <c r="M133" s="4">
        <v>31</v>
      </c>
      <c r="N133" s="4" t="str">
        <f>IF(Bike_Data[[#This Row],[Age]]&gt;=54,"Old",IF(Bike_Data[[#This Row],[Age]]&lt;30,"Young Adult","Middle Age"))</f>
        <v>Middle Age</v>
      </c>
      <c r="O133" s="5">
        <f t="shared" ca="1" si="2"/>
        <v>31979</v>
      </c>
      <c r="P133" s="2" t="s">
        <v>17</v>
      </c>
    </row>
    <row r="134" spans="1:16" x14ac:dyDescent="0.25">
      <c r="A134">
        <v>25041</v>
      </c>
      <c r="B134" s="2" t="s">
        <v>32</v>
      </c>
      <c r="C134" s="2" t="s">
        <v>34</v>
      </c>
      <c r="D134" s="4">
        <v>40000</v>
      </c>
      <c r="E13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4">
        <v>0</v>
      </c>
      <c r="G134" s="2" t="s">
        <v>26</v>
      </c>
      <c r="H134" s="2" t="s">
        <v>13</v>
      </c>
      <c r="I134" t="s">
        <v>14</v>
      </c>
      <c r="J134">
        <v>2</v>
      </c>
      <c r="K134" t="s">
        <v>22</v>
      </c>
      <c r="L134" s="2" t="s">
        <v>30</v>
      </c>
      <c r="M134" s="4">
        <v>31</v>
      </c>
      <c r="N134" s="4" t="str">
        <f>IF(Bike_Data[[#This Row],[Age]]&gt;=54,"Old",IF(Bike_Data[[#This Row],[Age]]&lt;30,"Young Adult","Middle Age"))</f>
        <v>Middle Age</v>
      </c>
      <c r="O134" s="5">
        <f t="shared" ca="1" si="2"/>
        <v>26638</v>
      </c>
      <c r="P134" s="2" t="s">
        <v>17</v>
      </c>
    </row>
    <row r="135" spans="1:16" x14ac:dyDescent="0.25">
      <c r="A135">
        <v>26576</v>
      </c>
      <c r="B135" s="2" t="s">
        <v>31</v>
      </c>
      <c r="C135" s="2" t="s">
        <v>33</v>
      </c>
      <c r="D135" s="4">
        <v>60000</v>
      </c>
      <c r="E13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35">
        <v>0</v>
      </c>
      <c r="G135" s="2" t="s">
        <v>18</v>
      </c>
      <c r="H135" s="2" t="s">
        <v>13</v>
      </c>
      <c r="I135" t="s">
        <v>14</v>
      </c>
      <c r="J135">
        <v>2</v>
      </c>
      <c r="K135" t="s">
        <v>22</v>
      </c>
      <c r="L135" s="2" t="s">
        <v>30</v>
      </c>
      <c r="M135" s="4">
        <v>31</v>
      </c>
      <c r="N135" s="4" t="str">
        <f>IF(Bike_Data[[#This Row],[Age]]&gt;=54,"Old",IF(Bike_Data[[#This Row],[Age]]&lt;30,"Young Adult","Middle Age"))</f>
        <v>Middle Age</v>
      </c>
      <c r="O135" s="5">
        <f t="shared" ca="1" si="2"/>
        <v>35486</v>
      </c>
      <c r="P135" s="2" t="s">
        <v>17</v>
      </c>
    </row>
    <row r="136" spans="1:16" x14ac:dyDescent="0.25">
      <c r="A136">
        <v>17337</v>
      </c>
      <c r="B136" s="2" t="s">
        <v>32</v>
      </c>
      <c r="C136" s="2" t="s">
        <v>34</v>
      </c>
      <c r="D136" s="4">
        <v>40000</v>
      </c>
      <c r="E13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6">
        <v>0</v>
      </c>
      <c r="G136" s="2" t="s">
        <v>26</v>
      </c>
      <c r="H136" s="2" t="s">
        <v>13</v>
      </c>
      <c r="I136" t="s">
        <v>14</v>
      </c>
      <c r="J136">
        <v>1</v>
      </c>
      <c r="K136" t="s">
        <v>22</v>
      </c>
      <c r="L136" s="2" t="s">
        <v>30</v>
      </c>
      <c r="M136" s="4">
        <v>31</v>
      </c>
      <c r="N136" s="4" t="str">
        <f>IF(Bike_Data[[#This Row],[Age]]&gt;=54,"Old",IF(Bike_Data[[#This Row],[Age]]&lt;30,"Young Adult","Middle Age"))</f>
        <v>Middle Age</v>
      </c>
      <c r="O136" s="5">
        <f t="shared" ca="1" si="2"/>
        <v>35631</v>
      </c>
      <c r="P136" s="2" t="s">
        <v>17</v>
      </c>
    </row>
    <row r="137" spans="1:16" x14ac:dyDescent="0.25">
      <c r="A137">
        <v>16466</v>
      </c>
      <c r="B137" s="2" t="s">
        <v>32</v>
      </c>
      <c r="C137" s="2" t="s">
        <v>33</v>
      </c>
      <c r="D137" s="4">
        <v>20000</v>
      </c>
      <c r="E13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7">
        <v>0</v>
      </c>
      <c r="G137" s="2" t="s">
        <v>28</v>
      </c>
      <c r="H137" s="2" t="s">
        <v>24</v>
      </c>
      <c r="I137" t="s">
        <v>17</v>
      </c>
      <c r="J137">
        <v>2</v>
      </c>
      <c r="K137" t="s">
        <v>15</v>
      </c>
      <c r="L137" s="2" t="s">
        <v>16</v>
      </c>
      <c r="M137" s="4">
        <v>32</v>
      </c>
      <c r="N137" s="4" t="str">
        <f>IF(Bike_Data[[#This Row],[Age]]&gt;=54,"Old",IF(Bike_Data[[#This Row],[Age]]&lt;30,"Young Adult","Middle Age"))</f>
        <v>Middle Age</v>
      </c>
      <c r="O137" s="5">
        <f t="shared" ca="1" si="2"/>
        <v>32595</v>
      </c>
      <c r="P137" s="2" t="s">
        <v>14</v>
      </c>
    </row>
    <row r="138" spans="1:16" x14ac:dyDescent="0.25">
      <c r="A138">
        <v>12716</v>
      </c>
      <c r="B138" s="2" t="s">
        <v>32</v>
      </c>
      <c r="C138" s="2" t="s">
        <v>34</v>
      </c>
      <c r="D138" s="4">
        <v>30000</v>
      </c>
      <c r="E13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38">
        <v>0</v>
      </c>
      <c r="G138" s="2" t="s">
        <v>18</v>
      </c>
      <c r="H138" s="2" t="s">
        <v>19</v>
      </c>
      <c r="I138" t="s">
        <v>14</v>
      </c>
      <c r="J138">
        <v>1</v>
      </c>
      <c r="K138" t="s">
        <v>21</v>
      </c>
      <c r="L138" s="2" t="s">
        <v>16</v>
      </c>
      <c r="M138" s="4">
        <v>32</v>
      </c>
      <c r="N138" s="4" t="str">
        <f>IF(Bike_Data[[#This Row],[Age]]&gt;=54,"Old",IF(Bike_Data[[#This Row],[Age]]&lt;30,"Young Adult","Middle Age"))</f>
        <v>Middle Age</v>
      </c>
      <c r="O138" s="5">
        <f t="shared" ca="1" si="2"/>
        <v>34084</v>
      </c>
      <c r="P138" s="2" t="s">
        <v>17</v>
      </c>
    </row>
    <row r="139" spans="1:16" x14ac:dyDescent="0.25">
      <c r="A139">
        <v>16614</v>
      </c>
      <c r="B139" s="2" t="s">
        <v>31</v>
      </c>
      <c r="C139" s="2" t="s">
        <v>33</v>
      </c>
      <c r="D139" s="4">
        <v>80000</v>
      </c>
      <c r="E13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39">
        <v>0</v>
      </c>
      <c r="G139" s="2" t="s">
        <v>12</v>
      </c>
      <c r="H139" s="2" t="s">
        <v>20</v>
      </c>
      <c r="I139" t="s">
        <v>14</v>
      </c>
      <c r="J139">
        <v>3</v>
      </c>
      <c r="K139" t="s">
        <v>37</v>
      </c>
      <c r="L139" s="2" t="s">
        <v>23</v>
      </c>
      <c r="M139" s="4">
        <v>32</v>
      </c>
      <c r="N139" s="4" t="str">
        <f>IF(Bike_Data[[#This Row],[Age]]&gt;=54,"Old",IF(Bike_Data[[#This Row],[Age]]&lt;30,"Young Adult","Middle Age"))</f>
        <v>Middle Age</v>
      </c>
      <c r="O139" s="5">
        <f t="shared" ca="1" si="2"/>
        <v>26499</v>
      </c>
      <c r="P139" s="2" t="s">
        <v>17</v>
      </c>
    </row>
    <row r="140" spans="1:16" x14ac:dyDescent="0.25">
      <c r="A140">
        <v>17845</v>
      </c>
      <c r="B140" s="2" t="s">
        <v>32</v>
      </c>
      <c r="C140" s="2" t="s">
        <v>33</v>
      </c>
      <c r="D140" s="4">
        <v>20000</v>
      </c>
      <c r="E14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0">
        <v>0</v>
      </c>
      <c r="G140" s="2" t="s">
        <v>28</v>
      </c>
      <c r="H140" s="2" t="s">
        <v>24</v>
      </c>
      <c r="I140" t="s">
        <v>17</v>
      </c>
      <c r="J140">
        <v>2</v>
      </c>
      <c r="K140" t="s">
        <v>25</v>
      </c>
      <c r="L140" s="2" t="s">
        <v>16</v>
      </c>
      <c r="M140" s="4">
        <v>32</v>
      </c>
      <c r="N140" s="4" t="str">
        <f>IF(Bike_Data[[#This Row],[Age]]&gt;=54,"Old",IF(Bike_Data[[#This Row],[Age]]&lt;30,"Young Adult","Middle Age"))</f>
        <v>Middle Age</v>
      </c>
      <c r="O140" s="5">
        <f t="shared" ca="1" si="2"/>
        <v>31909</v>
      </c>
      <c r="P140" s="2" t="s">
        <v>17</v>
      </c>
    </row>
    <row r="141" spans="1:16" x14ac:dyDescent="0.25">
      <c r="A141">
        <v>20606</v>
      </c>
      <c r="B141" s="2" t="s">
        <v>31</v>
      </c>
      <c r="C141" s="2" t="s">
        <v>33</v>
      </c>
      <c r="D141" s="4">
        <v>70000</v>
      </c>
      <c r="E14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41">
        <v>0</v>
      </c>
      <c r="G141" s="2" t="s">
        <v>12</v>
      </c>
      <c r="H141" s="2" t="s">
        <v>20</v>
      </c>
      <c r="I141" t="s">
        <v>14</v>
      </c>
      <c r="J141">
        <v>4</v>
      </c>
      <c r="K141" t="s">
        <v>37</v>
      </c>
      <c r="L141" s="2" t="s">
        <v>23</v>
      </c>
      <c r="M141" s="4">
        <v>32</v>
      </c>
      <c r="N141" s="4" t="str">
        <f>IF(Bike_Data[[#This Row],[Age]]&gt;=54,"Old",IF(Bike_Data[[#This Row],[Age]]&lt;30,"Young Adult","Middle Age"))</f>
        <v>Middle Age</v>
      </c>
      <c r="O141" s="5">
        <f t="shared" ca="1" si="2"/>
        <v>36986</v>
      </c>
      <c r="P141" s="2" t="s">
        <v>14</v>
      </c>
    </row>
    <row r="142" spans="1:16" x14ac:dyDescent="0.25">
      <c r="A142">
        <v>17843</v>
      </c>
      <c r="B142" s="2" t="s">
        <v>32</v>
      </c>
      <c r="C142" s="2" t="s">
        <v>33</v>
      </c>
      <c r="D142" s="4">
        <v>10000</v>
      </c>
      <c r="E14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2">
        <v>0</v>
      </c>
      <c r="G142" s="2" t="s">
        <v>28</v>
      </c>
      <c r="H142" s="2" t="s">
        <v>24</v>
      </c>
      <c r="I142" t="s">
        <v>17</v>
      </c>
      <c r="J142">
        <v>2</v>
      </c>
      <c r="K142" t="s">
        <v>15</v>
      </c>
      <c r="L142" s="2" t="s">
        <v>16</v>
      </c>
      <c r="M142" s="4">
        <v>32</v>
      </c>
      <c r="N142" s="4" t="str">
        <f>IF(Bike_Data[[#This Row],[Age]]&gt;=54,"Old",IF(Bike_Data[[#This Row],[Age]]&lt;30,"Young Adult","Middle Age"))</f>
        <v>Middle Age</v>
      </c>
      <c r="O142" s="5">
        <f t="shared" ca="1" si="2"/>
        <v>32738</v>
      </c>
      <c r="P142" s="2" t="s">
        <v>17</v>
      </c>
    </row>
    <row r="143" spans="1:16" x14ac:dyDescent="0.25">
      <c r="A143">
        <v>21557</v>
      </c>
      <c r="B143" s="2" t="s">
        <v>32</v>
      </c>
      <c r="C143" s="2" t="s">
        <v>33</v>
      </c>
      <c r="D143" s="4">
        <v>110000</v>
      </c>
      <c r="E14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143">
        <v>0</v>
      </c>
      <c r="G143" s="2" t="s">
        <v>18</v>
      </c>
      <c r="H143" s="2" t="s">
        <v>27</v>
      </c>
      <c r="I143" t="s">
        <v>14</v>
      </c>
      <c r="J143">
        <v>3</v>
      </c>
      <c r="K143" t="s">
        <v>37</v>
      </c>
      <c r="L143" s="2" t="s">
        <v>23</v>
      </c>
      <c r="M143" s="4">
        <v>32</v>
      </c>
      <c r="N143" s="4" t="str">
        <f>IF(Bike_Data[[#This Row],[Age]]&gt;=54,"Old",IF(Bike_Data[[#This Row],[Age]]&lt;30,"Young Adult","Middle Age"))</f>
        <v>Middle Age</v>
      </c>
      <c r="O143" s="5">
        <f t="shared" ca="1" si="2"/>
        <v>26417</v>
      </c>
      <c r="P143" s="2" t="s">
        <v>14</v>
      </c>
    </row>
    <row r="144" spans="1:16" x14ac:dyDescent="0.25">
      <c r="A144">
        <v>24898</v>
      </c>
      <c r="B144" s="2" t="s">
        <v>32</v>
      </c>
      <c r="C144" s="2" t="s">
        <v>33</v>
      </c>
      <c r="D144" s="4">
        <v>80000</v>
      </c>
      <c r="E14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44">
        <v>0</v>
      </c>
      <c r="G144" s="2" t="s">
        <v>12</v>
      </c>
      <c r="H144" s="2" t="s">
        <v>20</v>
      </c>
      <c r="I144" t="s">
        <v>14</v>
      </c>
      <c r="J144">
        <v>3</v>
      </c>
      <c r="K144" t="s">
        <v>37</v>
      </c>
      <c r="L144" s="2" t="s">
        <v>23</v>
      </c>
      <c r="M144" s="4">
        <v>32</v>
      </c>
      <c r="N144" s="4" t="str">
        <f>IF(Bike_Data[[#This Row],[Age]]&gt;=54,"Old",IF(Bike_Data[[#This Row],[Age]]&lt;30,"Young Adult","Middle Age"))</f>
        <v>Middle Age</v>
      </c>
      <c r="O144" s="5">
        <f t="shared" ca="1" si="2"/>
        <v>28036</v>
      </c>
      <c r="P144" s="2" t="s">
        <v>17</v>
      </c>
    </row>
    <row r="145" spans="1:16" x14ac:dyDescent="0.25">
      <c r="A145">
        <v>29424</v>
      </c>
      <c r="B145" s="2" t="s">
        <v>31</v>
      </c>
      <c r="C145" s="2" t="s">
        <v>34</v>
      </c>
      <c r="D145" s="4">
        <v>10000</v>
      </c>
      <c r="E14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5">
        <v>0</v>
      </c>
      <c r="G145" s="2" t="s">
        <v>28</v>
      </c>
      <c r="H145" s="2" t="s">
        <v>24</v>
      </c>
      <c r="I145" t="s">
        <v>14</v>
      </c>
      <c r="J145">
        <v>2</v>
      </c>
      <c r="K145" t="s">
        <v>15</v>
      </c>
      <c r="L145" s="2" t="s">
        <v>16</v>
      </c>
      <c r="M145" s="4">
        <v>32</v>
      </c>
      <c r="N145" s="4" t="str">
        <f>IF(Bike_Data[[#This Row],[Age]]&gt;=54,"Old",IF(Bike_Data[[#This Row],[Age]]&lt;30,"Young Adult","Middle Age"))</f>
        <v>Middle Age</v>
      </c>
      <c r="O145" s="5">
        <f t="shared" ca="1" si="2"/>
        <v>32775</v>
      </c>
      <c r="P145" s="2" t="s">
        <v>17</v>
      </c>
    </row>
    <row r="146" spans="1:16" x14ac:dyDescent="0.25">
      <c r="A146">
        <v>19174</v>
      </c>
      <c r="B146" s="2" t="s">
        <v>32</v>
      </c>
      <c r="C146" s="2" t="s">
        <v>33</v>
      </c>
      <c r="D146" s="4">
        <v>30000</v>
      </c>
      <c r="E14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6">
        <v>0</v>
      </c>
      <c r="G146" s="2" t="s">
        <v>26</v>
      </c>
      <c r="H146" s="2" t="s">
        <v>24</v>
      </c>
      <c r="I146" t="s">
        <v>17</v>
      </c>
      <c r="J146">
        <v>1</v>
      </c>
      <c r="K146" t="s">
        <v>21</v>
      </c>
      <c r="L146" s="2" t="s">
        <v>16</v>
      </c>
      <c r="M146" s="4">
        <v>32</v>
      </c>
      <c r="N146" s="4" t="str">
        <f>IF(Bike_Data[[#This Row],[Age]]&gt;=54,"Old",IF(Bike_Data[[#This Row],[Age]]&lt;30,"Young Adult","Middle Age"))</f>
        <v>Middle Age</v>
      </c>
      <c r="O146" s="5">
        <f t="shared" ca="1" si="2"/>
        <v>30486</v>
      </c>
      <c r="P146" s="2" t="s">
        <v>14</v>
      </c>
    </row>
    <row r="147" spans="1:16" x14ac:dyDescent="0.25">
      <c r="A147">
        <v>13683</v>
      </c>
      <c r="B147" s="2" t="s">
        <v>32</v>
      </c>
      <c r="C147" s="2" t="s">
        <v>33</v>
      </c>
      <c r="D147" s="4">
        <v>30000</v>
      </c>
      <c r="E14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7">
        <v>0</v>
      </c>
      <c r="G147" s="2" t="s">
        <v>26</v>
      </c>
      <c r="H147" s="2" t="s">
        <v>24</v>
      </c>
      <c r="I147" t="s">
        <v>17</v>
      </c>
      <c r="J147">
        <v>1</v>
      </c>
      <c r="K147" t="s">
        <v>21</v>
      </c>
      <c r="L147" s="2" t="s">
        <v>16</v>
      </c>
      <c r="M147" s="4">
        <v>32</v>
      </c>
      <c r="N147" s="4" t="str">
        <f>IF(Bike_Data[[#This Row],[Age]]&gt;=54,"Old",IF(Bike_Data[[#This Row],[Age]]&lt;30,"Young Adult","Middle Age"))</f>
        <v>Middle Age</v>
      </c>
      <c r="O147" s="5">
        <f t="shared" ca="1" si="2"/>
        <v>36998</v>
      </c>
      <c r="P147" s="2" t="s">
        <v>17</v>
      </c>
    </row>
    <row r="148" spans="1:16" x14ac:dyDescent="0.25">
      <c r="A148">
        <v>17238</v>
      </c>
      <c r="B148" s="2" t="s">
        <v>32</v>
      </c>
      <c r="C148" s="2" t="s">
        <v>34</v>
      </c>
      <c r="D148" s="4">
        <v>80000</v>
      </c>
      <c r="E14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48">
        <v>0</v>
      </c>
      <c r="G148" s="2" t="s">
        <v>12</v>
      </c>
      <c r="H148" s="2" t="s">
        <v>20</v>
      </c>
      <c r="I148" t="s">
        <v>14</v>
      </c>
      <c r="J148">
        <v>3</v>
      </c>
      <c r="K148" t="s">
        <v>37</v>
      </c>
      <c r="L148" s="2" t="s">
        <v>23</v>
      </c>
      <c r="M148" s="4">
        <v>32</v>
      </c>
      <c r="N148" s="4" t="str">
        <f>IF(Bike_Data[[#This Row],[Age]]&gt;=54,"Old",IF(Bike_Data[[#This Row],[Age]]&lt;30,"Young Adult","Middle Age"))</f>
        <v>Middle Age</v>
      </c>
      <c r="O148" s="5">
        <f t="shared" ca="1" si="2"/>
        <v>31368</v>
      </c>
      <c r="P148" s="2" t="s">
        <v>17</v>
      </c>
    </row>
    <row r="149" spans="1:16" x14ac:dyDescent="0.25">
      <c r="A149">
        <v>23962</v>
      </c>
      <c r="B149" s="2" t="s">
        <v>31</v>
      </c>
      <c r="C149" s="2" t="s">
        <v>33</v>
      </c>
      <c r="D149" s="4">
        <v>10000</v>
      </c>
      <c r="E14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49">
        <v>0</v>
      </c>
      <c r="G149" s="2" t="s">
        <v>28</v>
      </c>
      <c r="H149" s="2" t="s">
        <v>24</v>
      </c>
      <c r="I149" t="s">
        <v>14</v>
      </c>
      <c r="J149">
        <v>2</v>
      </c>
      <c r="K149" t="s">
        <v>25</v>
      </c>
      <c r="L149" s="2" t="s">
        <v>16</v>
      </c>
      <c r="M149" s="4">
        <v>32</v>
      </c>
      <c r="N149" s="4" t="str">
        <f>IF(Bike_Data[[#This Row],[Age]]&gt;=54,"Old",IF(Bike_Data[[#This Row],[Age]]&lt;30,"Young Adult","Middle Age"))</f>
        <v>Middle Age</v>
      </c>
      <c r="O149" s="5">
        <f t="shared" ca="1" si="2"/>
        <v>29064</v>
      </c>
      <c r="P149" s="2" t="s">
        <v>17</v>
      </c>
    </row>
    <row r="150" spans="1:16" x14ac:dyDescent="0.25">
      <c r="A150">
        <v>24901</v>
      </c>
      <c r="B150" s="2" t="s">
        <v>32</v>
      </c>
      <c r="C150" s="2" t="s">
        <v>34</v>
      </c>
      <c r="D150" s="4">
        <v>110000</v>
      </c>
      <c r="E15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150">
        <v>0</v>
      </c>
      <c r="G150" s="2" t="s">
        <v>18</v>
      </c>
      <c r="H150" s="2" t="s">
        <v>27</v>
      </c>
      <c r="I150" t="s">
        <v>17</v>
      </c>
      <c r="J150">
        <v>3</v>
      </c>
      <c r="K150" t="s">
        <v>37</v>
      </c>
      <c r="L150" s="2" t="s">
        <v>23</v>
      </c>
      <c r="M150" s="4">
        <v>32</v>
      </c>
      <c r="N150" s="4" t="str">
        <f>IF(Bike_Data[[#This Row],[Age]]&gt;=54,"Old",IF(Bike_Data[[#This Row],[Age]]&lt;30,"Young Adult","Middle Age"))</f>
        <v>Middle Age</v>
      </c>
      <c r="O150" s="5">
        <f t="shared" ca="1" si="2"/>
        <v>26232</v>
      </c>
      <c r="P150" s="2" t="s">
        <v>14</v>
      </c>
    </row>
    <row r="151" spans="1:16" x14ac:dyDescent="0.25">
      <c r="A151">
        <v>12731</v>
      </c>
      <c r="B151" s="2" t="s">
        <v>32</v>
      </c>
      <c r="C151" s="2" t="s">
        <v>34</v>
      </c>
      <c r="D151" s="4">
        <v>30000</v>
      </c>
      <c r="E15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1">
        <v>0</v>
      </c>
      <c r="G151" s="2" t="s">
        <v>26</v>
      </c>
      <c r="H151" s="2" t="s">
        <v>24</v>
      </c>
      <c r="I151" t="s">
        <v>17</v>
      </c>
      <c r="J151">
        <v>1</v>
      </c>
      <c r="K151" t="s">
        <v>25</v>
      </c>
      <c r="L151" s="2" t="s">
        <v>16</v>
      </c>
      <c r="M151" s="4">
        <v>32</v>
      </c>
      <c r="N151" s="4" t="str">
        <f>IF(Bike_Data[[#This Row],[Age]]&gt;=54,"Old",IF(Bike_Data[[#This Row],[Age]]&lt;30,"Young Adult","Middle Age"))</f>
        <v>Middle Age</v>
      </c>
      <c r="O151" s="5">
        <f t="shared" ca="1" si="2"/>
        <v>33912</v>
      </c>
      <c r="P151" s="2" t="s">
        <v>17</v>
      </c>
    </row>
    <row r="152" spans="1:16" x14ac:dyDescent="0.25">
      <c r="A152">
        <v>25307</v>
      </c>
      <c r="B152" s="2" t="s">
        <v>31</v>
      </c>
      <c r="C152" s="2" t="s">
        <v>33</v>
      </c>
      <c r="D152" s="4">
        <v>40000</v>
      </c>
      <c r="E15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2">
        <v>1</v>
      </c>
      <c r="G152" s="2" t="s">
        <v>12</v>
      </c>
      <c r="H152" s="2" t="s">
        <v>13</v>
      </c>
      <c r="I152" t="s">
        <v>14</v>
      </c>
      <c r="J152">
        <v>1</v>
      </c>
      <c r="K152" t="s">
        <v>25</v>
      </c>
      <c r="L152" s="2" t="s">
        <v>16</v>
      </c>
      <c r="M152" s="4">
        <v>32</v>
      </c>
      <c r="N152" s="4" t="str">
        <f>IF(Bike_Data[[#This Row],[Age]]&gt;=54,"Old",IF(Bike_Data[[#This Row],[Age]]&lt;30,"Young Adult","Middle Age"))</f>
        <v>Middle Age</v>
      </c>
      <c r="O152" s="5">
        <f t="shared" ca="1" si="2"/>
        <v>32353</v>
      </c>
      <c r="P152" s="2" t="s">
        <v>14</v>
      </c>
    </row>
    <row r="153" spans="1:16" x14ac:dyDescent="0.25">
      <c r="A153">
        <v>20711</v>
      </c>
      <c r="B153" s="2" t="s">
        <v>31</v>
      </c>
      <c r="C153" s="2" t="s">
        <v>33</v>
      </c>
      <c r="D153" s="4">
        <v>40000</v>
      </c>
      <c r="E15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3">
        <v>1</v>
      </c>
      <c r="G153" s="2" t="s">
        <v>12</v>
      </c>
      <c r="H153" s="2" t="s">
        <v>13</v>
      </c>
      <c r="I153" t="s">
        <v>14</v>
      </c>
      <c r="J153">
        <v>0</v>
      </c>
      <c r="K153" t="s">
        <v>25</v>
      </c>
      <c r="L153" s="2" t="s">
        <v>16</v>
      </c>
      <c r="M153" s="4">
        <v>32</v>
      </c>
      <c r="N153" s="4" t="str">
        <f>IF(Bike_Data[[#This Row],[Age]]&gt;=54,"Old",IF(Bike_Data[[#This Row],[Age]]&lt;30,"Young Adult","Middle Age"))</f>
        <v>Middle Age</v>
      </c>
      <c r="O153" s="5">
        <f t="shared" ca="1" si="2"/>
        <v>31439</v>
      </c>
      <c r="P153" s="2" t="s">
        <v>14</v>
      </c>
    </row>
    <row r="154" spans="1:16" x14ac:dyDescent="0.25">
      <c r="A154">
        <v>21560</v>
      </c>
      <c r="B154" s="2" t="s">
        <v>31</v>
      </c>
      <c r="C154" s="2" t="s">
        <v>34</v>
      </c>
      <c r="D154" s="4">
        <v>120000</v>
      </c>
      <c r="E15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154">
        <v>0</v>
      </c>
      <c r="G154" s="2" t="s">
        <v>28</v>
      </c>
      <c r="H154" s="2" t="s">
        <v>20</v>
      </c>
      <c r="I154" t="s">
        <v>14</v>
      </c>
      <c r="J154">
        <v>4</v>
      </c>
      <c r="K154" t="s">
        <v>37</v>
      </c>
      <c r="L154" s="2" t="s">
        <v>23</v>
      </c>
      <c r="M154" s="4">
        <v>32</v>
      </c>
      <c r="N154" s="4" t="str">
        <f>IF(Bike_Data[[#This Row],[Age]]&gt;=54,"Old",IF(Bike_Data[[#This Row],[Age]]&lt;30,"Young Adult","Middle Age"))</f>
        <v>Middle Age</v>
      </c>
      <c r="O154" s="5">
        <f t="shared" ca="1" si="2"/>
        <v>29338</v>
      </c>
      <c r="P154" s="2" t="s">
        <v>14</v>
      </c>
    </row>
    <row r="155" spans="1:16" x14ac:dyDescent="0.25">
      <c r="A155">
        <v>26984</v>
      </c>
      <c r="B155" s="2" t="s">
        <v>31</v>
      </c>
      <c r="C155" s="2" t="s">
        <v>34</v>
      </c>
      <c r="D155" s="4">
        <v>40000</v>
      </c>
      <c r="E1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5">
        <v>1</v>
      </c>
      <c r="G155" s="2" t="s">
        <v>12</v>
      </c>
      <c r="H155" s="2" t="s">
        <v>13</v>
      </c>
      <c r="I155" t="s">
        <v>14</v>
      </c>
      <c r="J155">
        <v>1</v>
      </c>
      <c r="K155" t="s">
        <v>15</v>
      </c>
      <c r="L155" s="2" t="s">
        <v>16</v>
      </c>
      <c r="M155" s="4">
        <v>32</v>
      </c>
      <c r="N155" s="4" t="str">
        <f>IF(Bike_Data[[#This Row],[Age]]&gt;=54,"Old",IF(Bike_Data[[#This Row],[Age]]&lt;30,"Young Adult","Middle Age"))</f>
        <v>Middle Age</v>
      </c>
      <c r="O155" s="5">
        <f t="shared" ca="1" si="2"/>
        <v>36433</v>
      </c>
      <c r="P155" s="2" t="s">
        <v>14</v>
      </c>
    </row>
    <row r="156" spans="1:16" x14ac:dyDescent="0.25">
      <c r="A156">
        <v>27835</v>
      </c>
      <c r="B156" s="2" t="s">
        <v>31</v>
      </c>
      <c r="C156" s="2" t="s">
        <v>34</v>
      </c>
      <c r="D156" s="4">
        <v>20000</v>
      </c>
      <c r="E15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6">
        <v>0</v>
      </c>
      <c r="G156" s="2" t="s">
        <v>28</v>
      </c>
      <c r="H156" s="2" t="s">
        <v>24</v>
      </c>
      <c r="I156" t="s">
        <v>14</v>
      </c>
      <c r="J156">
        <v>2</v>
      </c>
      <c r="K156" t="s">
        <v>15</v>
      </c>
      <c r="L156" s="2" t="s">
        <v>16</v>
      </c>
      <c r="M156" s="4">
        <v>32</v>
      </c>
      <c r="N156" s="4" t="str">
        <f>IF(Bike_Data[[#This Row],[Age]]&gt;=54,"Old",IF(Bike_Data[[#This Row],[Age]]&lt;30,"Young Adult","Middle Age"))</f>
        <v>Middle Age</v>
      </c>
      <c r="O156" s="5">
        <f t="shared" ca="1" si="2"/>
        <v>26502</v>
      </c>
      <c r="P156" s="2" t="s">
        <v>17</v>
      </c>
    </row>
    <row r="157" spans="1:16" x14ac:dyDescent="0.25">
      <c r="A157">
        <v>25329</v>
      </c>
      <c r="B157" s="2" t="s">
        <v>32</v>
      </c>
      <c r="C157" s="2" t="s">
        <v>33</v>
      </c>
      <c r="D157" s="4">
        <v>40000</v>
      </c>
      <c r="E15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57">
        <v>3</v>
      </c>
      <c r="G157" s="2" t="s">
        <v>18</v>
      </c>
      <c r="H157" s="2" t="s">
        <v>19</v>
      </c>
      <c r="I157" t="s">
        <v>17</v>
      </c>
      <c r="J157">
        <v>2</v>
      </c>
      <c r="K157" t="s">
        <v>15</v>
      </c>
      <c r="L157" s="2" t="s">
        <v>30</v>
      </c>
      <c r="M157" s="4">
        <v>32</v>
      </c>
      <c r="N157" s="4" t="str">
        <f>IF(Bike_Data[[#This Row],[Age]]&gt;=54,"Old",IF(Bike_Data[[#This Row],[Age]]&lt;30,"Young Adult","Middle Age"))</f>
        <v>Middle Age</v>
      </c>
      <c r="O157" s="5">
        <f t="shared" ca="1" si="2"/>
        <v>26901</v>
      </c>
      <c r="P157" s="2" t="s">
        <v>17</v>
      </c>
    </row>
    <row r="158" spans="1:16" x14ac:dyDescent="0.25">
      <c r="A158">
        <v>14284</v>
      </c>
      <c r="B158" s="2" t="s">
        <v>32</v>
      </c>
      <c r="C158" s="2" t="s">
        <v>34</v>
      </c>
      <c r="D158" s="4">
        <v>60000</v>
      </c>
      <c r="E15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58">
        <v>0</v>
      </c>
      <c r="G158" s="2" t="s">
        <v>18</v>
      </c>
      <c r="H158" s="2" t="s">
        <v>20</v>
      </c>
      <c r="I158" t="s">
        <v>17</v>
      </c>
      <c r="J158">
        <v>2</v>
      </c>
      <c r="K158" t="s">
        <v>25</v>
      </c>
      <c r="L158" s="2" t="s">
        <v>30</v>
      </c>
      <c r="M158" s="4">
        <v>32</v>
      </c>
      <c r="N158" s="4" t="str">
        <f>IF(Bike_Data[[#This Row],[Age]]&gt;=54,"Old",IF(Bike_Data[[#This Row],[Age]]&lt;30,"Young Adult","Middle Age"))</f>
        <v>Middle Age</v>
      </c>
      <c r="O158" s="5">
        <f t="shared" ca="1" si="2"/>
        <v>30660</v>
      </c>
      <c r="P158" s="2" t="s">
        <v>14</v>
      </c>
    </row>
    <row r="159" spans="1:16" x14ac:dyDescent="0.25">
      <c r="A159">
        <v>23358</v>
      </c>
      <c r="B159" s="2" t="s">
        <v>31</v>
      </c>
      <c r="C159" s="2" t="s">
        <v>34</v>
      </c>
      <c r="D159" s="4">
        <v>60000</v>
      </c>
      <c r="E15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59">
        <v>0</v>
      </c>
      <c r="G159" s="2" t="s">
        <v>26</v>
      </c>
      <c r="H159" s="2" t="s">
        <v>20</v>
      </c>
      <c r="I159" t="s">
        <v>14</v>
      </c>
      <c r="J159">
        <v>2</v>
      </c>
      <c r="K159" t="s">
        <v>22</v>
      </c>
      <c r="L159" s="2" t="s">
        <v>30</v>
      </c>
      <c r="M159" s="4">
        <v>32</v>
      </c>
      <c r="N159" s="4" t="str">
        <f>IF(Bike_Data[[#This Row],[Age]]&gt;=54,"Old",IF(Bike_Data[[#This Row],[Age]]&lt;30,"Young Adult","Middle Age"))</f>
        <v>Middle Age</v>
      </c>
      <c r="O159" s="5">
        <f t="shared" ca="1" si="2"/>
        <v>31716</v>
      </c>
      <c r="P159" s="2" t="s">
        <v>14</v>
      </c>
    </row>
    <row r="160" spans="1:16" x14ac:dyDescent="0.25">
      <c r="A160">
        <v>22211</v>
      </c>
      <c r="B160" s="2" t="s">
        <v>31</v>
      </c>
      <c r="C160" s="2" t="s">
        <v>34</v>
      </c>
      <c r="D160" s="4">
        <v>60000</v>
      </c>
      <c r="E16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60">
        <v>0</v>
      </c>
      <c r="G160" s="2" t="s">
        <v>18</v>
      </c>
      <c r="H160" s="2" t="s">
        <v>20</v>
      </c>
      <c r="I160" t="s">
        <v>14</v>
      </c>
      <c r="J160">
        <v>2</v>
      </c>
      <c r="K160" t="s">
        <v>22</v>
      </c>
      <c r="L160" s="2" t="s">
        <v>30</v>
      </c>
      <c r="M160" s="4">
        <v>32</v>
      </c>
      <c r="N160" s="4" t="str">
        <f>IF(Bike_Data[[#This Row],[Age]]&gt;=54,"Old",IF(Bike_Data[[#This Row],[Age]]&lt;30,"Young Adult","Middle Age"))</f>
        <v>Middle Age</v>
      </c>
      <c r="O160" s="5">
        <f t="shared" ca="1" si="2"/>
        <v>26002</v>
      </c>
      <c r="P160" s="2" t="s">
        <v>17</v>
      </c>
    </row>
    <row r="161" spans="1:16" x14ac:dyDescent="0.25">
      <c r="A161">
        <v>21417</v>
      </c>
      <c r="B161" s="2" t="s">
        <v>32</v>
      </c>
      <c r="C161" s="2" t="s">
        <v>33</v>
      </c>
      <c r="D161" s="4">
        <v>60000</v>
      </c>
      <c r="E16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61">
        <v>0</v>
      </c>
      <c r="G161" s="2" t="s">
        <v>18</v>
      </c>
      <c r="H161" s="2" t="s">
        <v>20</v>
      </c>
      <c r="I161" t="s">
        <v>17</v>
      </c>
      <c r="J161">
        <v>2</v>
      </c>
      <c r="K161" t="s">
        <v>25</v>
      </c>
      <c r="L161" s="2" t="s">
        <v>30</v>
      </c>
      <c r="M161" s="4">
        <v>32</v>
      </c>
      <c r="N161" s="4" t="str">
        <f>IF(Bike_Data[[#This Row],[Age]]&gt;=54,"Old",IF(Bike_Data[[#This Row],[Age]]&lt;30,"Young Adult","Middle Age"))</f>
        <v>Middle Age</v>
      </c>
      <c r="O161" s="5">
        <f t="shared" ca="1" si="2"/>
        <v>30554</v>
      </c>
      <c r="P161" s="2" t="s">
        <v>14</v>
      </c>
    </row>
    <row r="162" spans="1:16" x14ac:dyDescent="0.25">
      <c r="A162">
        <v>14271</v>
      </c>
      <c r="B162" s="2" t="s">
        <v>31</v>
      </c>
      <c r="C162" s="2" t="s">
        <v>34</v>
      </c>
      <c r="D162" s="4">
        <v>30000</v>
      </c>
      <c r="E16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2">
        <v>0</v>
      </c>
      <c r="G162" s="2" t="s">
        <v>26</v>
      </c>
      <c r="H162" s="2" t="s">
        <v>13</v>
      </c>
      <c r="I162" t="s">
        <v>14</v>
      </c>
      <c r="J162">
        <v>2</v>
      </c>
      <c r="K162" t="s">
        <v>22</v>
      </c>
      <c r="L162" s="2" t="s">
        <v>30</v>
      </c>
      <c r="M162" s="4">
        <v>32</v>
      </c>
      <c r="N162" s="4" t="str">
        <f>IF(Bike_Data[[#This Row],[Age]]&gt;=54,"Old",IF(Bike_Data[[#This Row],[Age]]&lt;30,"Young Adult","Middle Age"))</f>
        <v>Middle Age</v>
      </c>
      <c r="O162" s="5">
        <f t="shared" ca="1" si="2"/>
        <v>32020</v>
      </c>
      <c r="P162" s="2" t="s">
        <v>17</v>
      </c>
    </row>
    <row r="163" spans="1:16" x14ac:dyDescent="0.25">
      <c r="A163">
        <v>16751</v>
      </c>
      <c r="B163" s="2" t="s">
        <v>31</v>
      </c>
      <c r="C163" s="2" t="s">
        <v>34</v>
      </c>
      <c r="D163" s="4">
        <v>60000</v>
      </c>
      <c r="E16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63">
        <v>0</v>
      </c>
      <c r="G163" s="2" t="s">
        <v>18</v>
      </c>
      <c r="H163" s="2" t="s">
        <v>13</v>
      </c>
      <c r="I163" t="s">
        <v>14</v>
      </c>
      <c r="J163">
        <v>1</v>
      </c>
      <c r="K163" t="s">
        <v>22</v>
      </c>
      <c r="L163" s="2" t="s">
        <v>30</v>
      </c>
      <c r="M163" s="4">
        <v>32</v>
      </c>
      <c r="N163" s="4" t="str">
        <f>IF(Bike_Data[[#This Row],[Age]]&gt;=54,"Old",IF(Bike_Data[[#This Row],[Age]]&lt;30,"Young Adult","Middle Age"))</f>
        <v>Middle Age</v>
      </c>
      <c r="O163" s="5">
        <f t="shared" ca="1" si="2"/>
        <v>29652</v>
      </c>
      <c r="P163" s="2" t="s">
        <v>14</v>
      </c>
    </row>
    <row r="164" spans="1:16" x14ac:dyDescent="0.25">
      <c r="A164">
        <v>17519</v>
      </c>
      <c r="B164" s="2" t="s">
        <v>31</v>
      </c>
      <c r="C164" s="2" t="s">
        <v>33</v>
      </c>
      <c r="D164" s="4">
        <v>60000</v>
      </c>
      <c r="E1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64">
        <v>0</v>
      </c>
      <c r="G164" s="2" t="s">
        <v>18</v>
      </c>
      <c r="H164" s="2" t="s">
        <v>20</v>
      </c>
      <c r="I164" t="s">
        <v>14</v>
      </c>
      <c r="J164">
        <v>2</v>
      </c>
      <c r="K164" t="s">
        <v>22</v>
      </c>
      <c r="L164" s="2" t="s">
        <v>30</v>
      </c>
      <c r="M164" s="4">
        <v>32</v>
      </c>
      <c r="N164" s="4" t="str">
        <f>IF(Bike_Data[[#This Row],[Age]]&gt;=54,"Old",IF(Bike_Data[[#This Row],[Age]]&lt;30,"Young Adult","Middle Age"))</f>
        <v>Middle Age</v>
      </c>
      <c r="O164" s="5">
        <f t="shared" ca="1" si="2"/>
        <v>26485</v>
      </c>
      <c r="P164" s="2" t="s">
        <v>17</v>
      </c>
    </row>
    <row r="165" spans="1:16" x14ac:dyDescent="0.25">
      <c r="A165">
        <v>15839</v>
      </c>
      <c r="B165" s="2" t="s">
        <v>32</v>
      </c>
      <c r="C165" s="2" t="s">
        <v>34</v>
      </c>
      <c r="D165" s="4">
        <v>30000</v>
      </c>
      <c r="E16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5">
        <v>0</v>
      </c>
      <c r="G165" s="2" t="s">
        <v>18</v>
      </c>
      <c r="H165" s="2" t="s">
        <v>13</v>
      </c>
      <c r="I165" t="s">
        <v>14</v>
      </c>
      <c r="J165">
        <v>1</v>
      </c>
      <c r="K165" t="s">
        <v>22</v>
      </c>
      <c r="L165" s="2" t="s">
        <v>30</v>
      </c>
      <c r="M165" s="4">
        <v>32</v>
      </c>
      <c r="N165" s="4" t="str">
        <f>IF(Bike_Data[[#This Row],[Age]]&gt;=54,"Old",IF(Bike_Data[[#This Row],[Age]]&lt;30,"Young Adult","Middle Age"))</f>
        <v>Middle Age</v>
      </c>
      <c r="O165" s="5">
        <f t="shared" ca="1" si="2"/>
        <v>26518</v>
      </c>
      <c r="P165" s="2" t="s">
        <v>17</v>
      </c>
    </row>
    <row r="166" spans="1:16" x14ac:dyDescent="0.25">
      <c r="A166">
        <v>22330</v>
      </c>
      <c r="B166" s="2" t="s">
        <v>31</v>
      </c>
      <c r="C166" s="2" t="s">
        <v>34</v>
      </c>
      <c r="D166" s="4">
        <v>50000</v>
      </c>
      <c r="E1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6">
        <v>0</v>
      </c>
      <c r="G166" s="2" t="s">
        <v>29</v>
      </c>
      <c r="H166" s="2" t="s">
        <v>13</v>
      </c>
      <c r="I166" t="s">
        <v>14</v>
      </c>
      <c r="J166">
        <v>0</v>
      </c>
      <c r="K166" t="s">
        <v>25</v>
      </c>
      <c r="L166" s="2" t="s">
        <v>30</v>
      </c>
      <c r="M166" s="4">
        <v>32</v>
      </c>
      <c r="N166" s="4" t="str">
        <f>IF(Bike_Data[[#This Row],[Age]]&gt;=54,"Old",IF(Bike_Data[[#This Row],[Age]]&lt;30,"Young Adult","Middle Age"))</f>
        <v>Middle Age</v>
      </c>
      <c r="O166" s="5">
        <f t="shared" ca="1" si="2"/>
        <v>34252</v>
      </c>
      <c r="P166" s="2" t="s">
        <v>14</v>
      </c>
    </row>
    <row r="167" spans="1:16" x14ac:dyDescent="0.25">
      <c r="A167">
        <v>14872</v>
      </c>
      <c r="B167" s="2" t="s">
        <v>31</v>
      </c>
      <c r="C167" s="2" t="s">
        <v>34</v>
      </c>
      <c r="D167" s="4">
        <v>30000</v>
      </c>
      <c r="E1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7">
        <v>0</v>
      </c>
      <c r="G167" s="2" t="s">
        <v>29</v>
      </c>
      <c r="H167" s="2" t="s">
        <v>13</v>
      </c>
      <c r="I167" t="s">
        <v>14</v>
      </c>
      <c r="J167">
        <v>0</v>
      </c>
      <c r="K167" t="s">
        <v>15</v>
      </c>
      <c r="L167" s="2" t="s">
        <v>30</v>
      </c>
      <c r="M167" s="4">
        <v>32</v>
      </c>
      <c r="N167" s="4" t="str">
        <f>IF(Bike_Data[[#This Row],[Age]]&gt;=54,"Old",IF(Bike_Data[[#This Row],[Age]]&lt;30,"Young Adult","Middle Age"))</f>
        <v>Middle Age</v>
      </c>
      <c r="O167" s="5">
        <f t="shared" ca="1" si="2"/>
        <v>31693</v>
      </c>
      <c r="P167" s="2" t="s">
        <v>17</v>
      </c>
    </row>
    <row r="168" spans="1:16" x14ac:dyDescent="0.25">
      <c r="A168">
        <v>11622</v>
      </c>
      <c r="B168" s="2" t="s">
        <v>31</v>
      </c>
      <c r="C168" s="2" t="s">
        <v>34</v>
      </c>
      <c r="D168" s="4">
        <v>50000</v>
      </c>
      <c r="E16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8">
        <v>0</v>
      </c>
      <c r="G168" s="2" t="s">
        <v>29</v>
      </c>
      <c r="H168" s="2" t="s">
        <v>13</v>
      </c>
      <c r="I168" t="s">
        <v>14</v>
      </c>
      <c r="J168">
        <v>0</v>
      </c>
      <c r="K168" t="s">
        <v>15</v>
      </c>
      <c r="L168" s="2" t="s">
        <v>30</v>
      </c>
      <c r="M168" s="4">
        <v>32</v>
      </c>
      <c r="N168" s="4" t="str">
        <f>IF(Bike_Data[[#This Row],[Age]]&gt;=54,"Old",IF(Bike_Data[[#This Row],[Age]]&lt;30,"Young Adult","Middle Age"))</f>
        <v>Middle Age</v>
      </c>
      <c r="O168" s="5">
        <f t="shared" ca="1" si="2"/>
        <v>28592</v>
      </c>
      <c r="P168" s="2" t="s">
        <v>17</v>
      </c>
    </row>
    <row r="169" spans="1:16" x14ac:dyDescent="0.25">
      <c r="A169">
        <v>27190</v>
      </c>
      <c r="B169" s="2" t="s">
        <v>31</v>
      </c>
      <c r="C169" s="2" t="s">
        <v>33</v>
      </c>
      <c r="D169" s="4">
        <v>40000</v>
      </c>
      <c r="E16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69">
        <v>3</v>
      </c>
      <c r="G169" s="2" t="s">
        <v>18</v>
      </c>
      <c r="H169" s="2" t="s">
        <v>19</v>
      </c>
      <c r="I169" t="s">
        <v>14</v>
      </c>
      <c r="J169">
        <v>1</v>
      </c>
      <c r="K169" t="s">
        <v>25</v>
      </c>
      <c r="L169" s="2" t="s">
        <v>30</v>
      </c>
      <c r="M169" s="4">
        <v>32</v>
      </c>
      <c r="N169" s="4" t="str">
        <f>IF(Bike_Data[[#This Row],[Age]]&gt;=54,"Old",IF(Bike_Data[[#This Row],[Age]]&lt;30,"Young Adult","Middle Age"))</f>
        <v>Middle Age</v>
      </c>
      <c r="O169" s="5">
        <f t="shared" ca="1" si="2"/>
        <v>26442</v>
      </c>
      <c r="P169" s="2" t="s">
        <v>17</v>
      </c>
    </row>
    <row r="170" spans="1:16" x14ac:dyDescent="0.25">
      <c r="A170">
        <v>27974</v>
      </c>
      <c r="B170" s="2" t="s">
        <v>32</v>
      </c>
      <c r="C170" s="2" t="s">
        <v>34</v>
      </c>
      <c r="D170" s="4">
        <v>160000</v>
      </c>
      <c r="E17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170">
        <v>2</v>
      </c>
      <c r="G170" s="2" t="s">
        <v>26</v>
      </c>
      <c r="H170" s="2" t="s">
        <v>27</v>
      </c>
      <c r="I170" t="s">
        <v>14</v>
      </c>
      <c r="J170">
        <v>4</v>
      </c>
      <c r="K170" t="s">
        <v>15</v>
      </c>
      <c r="L170" s="2" t="s">
        <v>23</v>
      </c>
      <c r="M170" s="4">
        <v>33</v>
      </c>
      <c r="N170" s="4" t="str">
        <f>IF(Bike_Data[[#This Row],[Age]]&gt;=54,"Old",IF(Bike_Data[[#This Row],[Age]]&lt;30,"Young Adult","Middle Age"))</f>
        <v>Middle Age</v>
      </c>
      <c r="O170" s="5">
        <f t="shared" ca="1" si="2"/>
        <v>28477</v>
      </c>
      <c r="P170" s="2" t="s">
        <v>14</v>
      </c>
    </row>
    <row r="171" spans="1:16" x14ac:dyDescent="0.25">
      <c r="A171">
        <v>25303</v>
      </c>
      <c r="B171" s="2" t="s">
        <v>32</v>
      </c>
      <c r="C171" s="2" t="s">
        <v>34</v>
      </c>
      <c r="D171" s="4">
        <v>30000</v>
      </c>
      <c r="E17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1">
        <v>0</v>
      </c>
      <c r="G171" s="2" t="s">
        <v>26</v>
      </c>
      <c r="H171" s="2" t="s">
        <v>24</v>
      </c>
      <c r="I171" t="s">
        <v>14</v>
      </c>
      <c r="J171">
        <v>1</v>
      </c>
      <c r="K171" t="s">
        <v>21</v>
      </c>
      <c r="L171" s="2" t="s">
        <v>16</v>
      </c>
      <c r="M171" s="4">
        <v>33</v>
      </c>
      <c r="N171" s="4" t="str">
        <f>IF(Bike_Data[[#This Row],[Age]]&gt;=54,"Old",IF(Bike_Data[[#This Row],[Age]]&lt;30,"Young Adult","Middle Age"))</f>
        <v>Middle Age</v>
      </c>
      <c r="O171" s="5">
        <f t="shared" ca="1" si="2"/>
        <v>37658</v>
      </c>
      <c r="P171" s="2" t="s">
        <v>14</v>
      </c>
    </row>
    <row r="172" spans="1:16" x14ac:dyDescent="0.25">
      <c r="A172">
        <v>15608</v>
      </c>
      <c r="B172" s="2" t="s">
        <v>32</v>
      </c>
      <c r="C172" s="2" t="s">
        <v>33</v>
      </c>
      <c r="D172" s="4">
        <v>30000</v>
      </c>
      <c r="E17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2">
        <v>0</v>
      </c>
      <c r="G172" s="2" t="s">
        <v>18</v>
      </c>
      <c r="H172" s="2" t="s">
        <v>19</v>
      </c>
      <c r="I172" t="s">
        <v>17</v>
      </c>
      <c r="J172">
        <v>1</v>
      </c>
      <c r="K172" t="s">
        <v>21</v>
      </c>
      <c r="L172" s="2" t="s">
        <v>16</v>
      </c>
      <c r="M172" s="4">
        <v>33</v>
      </c>
      <c r="N172" s="4" t="str">
        <f>IF(Bike_Data[[#This Row],[Age]]&gt;=54,"Old",IF(Bike_Data[[#This Row],[Age]]&lt;30,"Young Adult","Middle Age"))</f>
        <v>Middle Age</v>
      </c>
      <c r="O172" s="5">
        <f t="shared" ca="1" si="2"/>
        <v>29999</v>
      </c>
      <c r="P172" s="2" t="s">
        <v>17</v>
      </c>
    </row>
    <row r="173" spans="1:16" x14ac:dyDescent="0.25">
      <c r="A173">
        <v>23963</v>
      </c>
      <c r="B173" s="2" t="s">
        <v>31</v>
      </c>
      <c r="C173" s="2" t="s">
        <v>34</v>
      </c>
      <c r="D173" s="4">
        <v>10000</v>
      </c>
      <c r="E17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3">
        <v>0</v>
      </c>
      <c r="G173" s="2" t="s">
        <v>28</v>
      </c>
      <c r="H173" s="2" t="s">
        <v>24</v>
      </c>
      <c r="I173" t="s">
        <v>17</v>
      </c>
      <c r="J173">
        <v>2</v>
      </c>
      <c r="K173" t="s">
        <v>15</v>
      </c>
      <c r="L173" s="2" t="s">
        <v>16</v>
      </c>
      <c r="M173" s="4">
        <v>33</v>
      </c>
      <c r="N173" s="4" t="str">
        <f>IF(Bike_Data[[#This Row],[Age]]&gt;=54,"Old",IF(Bike_Data[[#This Row],[Age]]&lt;30,"Young Adult","Middle Age"))</f>
        <v>Middle Age</v>
      </c>
      <c r="O173" s="5">
        <f t="shared" ca="1" si="2"/>
        <v>29757</v>
      </c>
      <c r="P173" s="2" t="s">
        <v>17</v>
      </c>
    </row>
    <row r="174" spans="1:16" x14ac:dyDescent="0.25">
      <c r="A174">
        <v>11453</v>
      </c>
      <c r="B174" s="2" t="s">
        <v>32</v>
      </c>
      <c r="C174" s="2" t="s">
        <v>34</v>
      </c>
      <c r="D174" s="4">
        <v>80000</v>
      </c>
      <c r="E17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74">
        <v>0</v>
      </c>
      <c r="G174" s="2" t="s">
        <v>12</v>
      </c>
      <c r="H174" s="2" t="s">
        <v>20</v>
      </c>
      <c r="I174" t="s">
        <v>17</v>
      </c>
      <c r="J174">
        <v>3</v>
      </c>
      <c r="K174" t="s">
        <v>37</v>
      </c>
      <c r="L174" s="2" t="s">
        <v>23</v>
      </c>
      <c r="M174" s="4">
        <v>33</v>
      </c>
      <c r="N174" s="4" t="str">
        <f>IF(Bike_Data[[#This Row],[Age]]&gt;=54,"Old",IF(Bike_Data[[#This Row],[Age]]&lt;30,"Young Adult","Middle Age"))</f>
        <v>Middle Age</v>
      </c>
      <c r="O174" s="5">
        <f t="shared" ca="1" si="2"/>
        <v>28871</v>
      </c>
      <c r="P174" s="2" t="s">
        <v>14</v>
      </c>
    </row>
    <row r="175" spans="1:16" x14ac:dyDescent="0.25">
      <c r="A175">
        <v>18626</v>
      </c>
      <c r="B175" s="2" t="s">
        <v>32</v>
      </c>
      <c r="C175" s="2" t="s">
        <v>34</v>
      </c>
      <c r="D175" s="4">
        <v>40000</v>
      </c>
      <c r="E17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5">
        <v>2</v>
      </c>
      <c r="G175" s="2" t="s">
        <v>18</v>
      </c>
      <c r="H175" s="2" t="s">
        <v>19</v>
      </c>
      <c r="I175" t="s">
        <v>14</v>
      </c>
      <c r="J175">
        <v>0</v>
      </c>
      <c r="K175" t="s">
        <v>25</v>
      </c>
      <c r="L175" s="2" t="s">
        <v>16</v>
      </c>
      <c r="M175" s="4">
        <v>33</v>
      </c>
      <c r="N175" s="4" t="str">
        <f>IF(Bike_Data[[#This Row],[Age]]&gt;=54,"Old",IF(Bike_Data[[#This Row],[Age]]&lt;30,"Young Adult","Middle Age"))</f>
        <v>Middle Age</v>
      </c>
      <c r="O175" s="5">
        <f t="shared" ca="1" si="2"/>
        <v>27904</v>
      </c>
      <c r="P175" s="2" t="s">
        <v>14</v>
      </c>
    </row>
    <row r="176" spans="1:16" x14ac:dyDescent="0.25">
      <c r="A176">
        <v>26219</v>
      </c>
      <c r="B176" s="2" t="s">
        <v>31</v>
      </c>
      <c r="C176" s="2" t="s">
        <v>33</v>
      </c>
      <c r="D176" s="4">
        <v>40000</v>
      </c>
      <c r="E17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6">
        <v>1</v>
      </c>
      <c r="G176" s="2" t="s">
        <v>12</v>
      </c>
      <c r="H176" s="2" t="s">
        <v>13</v>
      </c>
      <c r="I176" t="s">
        <v>14</v>
      </c>
      <c r="J176">
        <v>1</v>
      </c>
      <c r="K176" t="s">
        <v>25</v>
      </c>
      <c r="L176" s="2" t="s">
        <v>16</v>
      </c>
      <c r="M176" s="4">
        <v>33</v>
      </c>
      <c r="N176" s="4" t="str">
        <f>IF(Bike_Data[[#This Row],[Age]]&gt;=54,"Old",IF(Bike_Data[[#This Row],[Age]]&lt;30,"Young Adult","Middle Age"))</f>
        <v>Middle Age</v>
      </c>
      <c r="O176" s="5">
        <f t="shared" ca="1" si="2"/>
        <v>35080</v>
      </c>
      <c r="P176" s="2" t="s">
        <v>14</v>
      </c>
    </row>
    <row r="177" spans="1:16" x14ac:dyDescent="0.25">
      <c r="A177">
        <v>22538</v>
      </c>
      <c r="B177" s="2" t="s">
        <v>32</v>
      </c>
      <c r="C177" s="2" t="s">
        <v>33</v>
      </c>
      <c r="D177" s="4">
        <v>10000</v>
      </c>
      <c r="E17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7">
        <v>0</v>
      </c>
      <c r="G177" s="2" t="s">
        <v>28</v>
      </c>
      <c r="H177" s="2" t="s">
        <v>24</v>
      </c>
      <c r="I177" t="s">
        <v>14</v>
      </c>
      <c r="J177">
        <v>2</v>
      </c>
      <c r="K177" t="s">
        <v>25</v>
      </c>
      <c r="L177" s="2" t="s">
        <v>16</v>
      </c>
      <c r="M177" s="4">
        <v>33</v>
      </c>
      <c r="N177" s="4" t="str">
        <f>IF(Bike_Data[[#This Row],[Age]]&gt;=54,"Old",IF(Bike_Data[[#This Row],[Age]]&lt;30,"Young Adult","Middle Age"))</f>
        <v>Middle Age</v>
      </c>
      <c r="O177" s="5">
        <f t="shared" ca="1" si="2"/>
        <v>37735</v>
      </c>
      <c r="P177" s="2" t="s">
        <v>17</v>
      </c>
    </row>
    <row r="178" spans="1:16" x14ac:dyDescent="0.25">
      <c r="A178">
        <v>13687</v>
      </c>
      <c r="B178" s="2" t="s">
        <v>31</v>
      </c>
      <c r="C178" s="2" t="s">
        <v>34</v>
      </c>
      <c r="D178" s="4">
        <v>40000</v>
      </c>
      <c r="E17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8">
        <v>1</v>
      </c>
      <c r="G178" s="2" t="s">
        <v>12</v>
      </c>
      <c r="H178" s="2" t="s">
        <v>13</v>
      </c>
      <c r="I178" t="s">
        <v>14</v>
      </c>
      <c r="J178">
        <v>1</v>
      </c>
      <c r="K178" t="s">
        <v>15</v>
      </c>
      <c r="L178" s="2" t="s">
        <v>16</v>
      </c>
      <c r="M178" s="4">
        <v>33</v>
      </c>
      <c r="N178" s="4" t="str">
        <f>IF(Bike_Data[[#This Row],[Age]]&gt;=54,"Old",IF(Bike_Data[[#This Row],[Age]]&lt;30,"Young Adult","Middle Age"))</f>
        <v>Middle Age</v>
      </c>
      <c r="O178" s="5">
        <f t="shared" ca="1" si="2"/>
        <v>30417</v>
      </c>
      <c r="P178" s="2" t="s">
        <v>14</v>
      </c>
    </row>
    <row r="179" spans="1:16" x14ac:dyDescent="0.25">
      <c r="A179">
        <v>12744</v>
      </c>
      <c r="B179" s="2" t="s">
        <v>32</v>
      </c>
      <c r="C179" s="2" t="s">
        <v>33</v>
      </c>
      <c r="D179" s="4">
        <v>40000</v>
      </c>
      <c r="E17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79">
        <v>2</v>
      </c>
      <c r="G179" s="2" t="s">
        <v>18</v>
      </c>
      <c r="H179" s="2" t="s">
        <v>19</v>
      </c>
      <c r="I179" t="s">
        <v>14</v>
      </c>
      <c r="J179">
        <v>0</v>
      </c>
      <c r="K179" t="s">
        <v>15</v>
      </c>
      <c r="L179" s="2" t="s">
        <v>16</v>
      </c>
      <c r="M179" s="4">
        <v>33</v>
      </c>
      <c r="N179" s="4" t="str">
        <f>IF(Bike_Data[[#This Row],[Age]]&gt;=54,"Old",IF(Bike_Data[[#This Row],[Age]]&lt;30,"Young Adult","Middle Age"))</f>
        <v>Middle Age</v>
      </c>
      <c r="O179" s="5">
        <f t="shared" ca="1" si="2"/>
        <v>29215</v>
      </c>
      <c r="P179" s="2" t="s">
        <v>17</v>
      </c>
    </row>
    <row r="180" spans="1:16" x14ac:dyDescent="0.25">
      <c r="A180">
        <v>21554</v>
      </c>
      <c r="B180" s="2" t="s">
        <v>32</v>
      </c>
      <c r="C180" s="2" t="s">
        <v>33</v>
      </c>
      <c r="D180" s="4">
        <v>80000</v>
      </c>
      <c r="E18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80">
        <v>0</v>
      </c>
      <c r="G180" s="2" t="s">
        <v>12</v>
      </c>
      <c r="H180" s="2" t="s">
        <v>20</v>
      </c>
      <c r="I180" t="s">
        <v>17</v>
      </c>
      <c r="J180">
        <v>3</v>
      </c>
      <c r="K180" t="s">
        <v>37</v>
      </c>
      <c r="L180" s="2" t="s">
        <v>23</v>
      </c>
      <c r="M180" s="4">
        <v>33</v>
      </c>
      <c r="N180" s="4" t="str">
        <f>IF(Bike_Data[[#This Row],[Age]]&gt;=54,"Old",IF(Bike_Data[[#This Row],[Age]]&lt;30,"Young Adult","Middle Age"))</f>
        <v>Middle Age</v>
      </c>
      <c r="O180" s="5">
        <f t="shared" ca="1" si="2"/>
        <v>36801</v>
      </c>
      <c r="P180" s="2" t="s">
        <v>17</v>
      </c>
    </row>
    <row r="181" spans="1:16" x14ac:dyDescent="0.25">
      <c r="A181">
        <v>28564</v>
      </c>
      <c r="B181" s="2" t="s">
        <v>32</v>
      </c>
      <c r="C181" s="2" t="s">
        <v>33</v>
      </c>
      <c r="D181" s="4">
        <v>40000</v>
      </c>
      <c r="E18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81">
        <v>2</v>
      </c>
      <c r="G181" s="2" t="s">
        <v>18</v>
      </c>
      <c r="H181" s="2" t="s">
        <v>19</v>
      </c>
      <c r="I181" t="s">
        <v>14</v>
      </c>
      <c r="J181">
        <v>0</v>
      </c>
      <c r="K181" t="s">
        <v>25</v>
      </c>
      <c r="L181" s="2" t="s">
        <v>16</v>
      </c>
      <c r="M181" s="4">
        <v>33</v>
      </c>
      <c r="N181" s="4" t="str">
        <f>IF(Bike_Data[[#This Row],[Age]]&gt;=54,"Old",IF(Bike_Data[[#This Row],[Age]]&lt;30,"Young Adult","Middle Age"))</f>
        <v>Middle Age</v>
      </c>
      <c r="O181" s="5">
        <f t="shared" ca="1" si="2"/>
        <v>35043</v>
      </c>
      <c r="P181" s="2" t="s">
        <v>14</v>
      </c>
    </row>
    <row r="182" spans="1:16" x14ac:dyDescent="0.25">
      <c r="A182">
        <v>11165</v>
      </c>
      <c r="B182" s="2" t="s">
        <v>31</v>
      </c>
      <c r="C182" s="2" t="s">
        <v>33</v>
      </c>
      <c r="D182" s="4">
        <v>60000</v>
      </c>
      <c r="E18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82">
        <v>0</v>
      </c>
      <c r="G182" s="2" t="s">
        <v>18</v>
      </c>
      <c r="H182" s="2" t="s">
        <v>13</v>
      </c>
      <c r="I182" t="s">
        <v>17</v>
      </c>
      <c r="J182">
        <v>1</v>
      </c>
      <c r="K182" t="s">
        <v>25</v>
      </c>
      <c r="L182" s="2" t="s">
        <v>30</v>
      </c>
      <c r="M182" s="4">
        <v>33</v>
      </c>
      <c r="N182" s="4" t="str">
        <f>IF(Bike_Data[[#This Row],[Age]]&gt;=54,"Old",IF(Bike_Data[[#This Row],[Age]]&lt;30,"Young Adult","Middle Age"))</f>
        <v>Middle Age</v>
      </c>
      <c r="O182" s="5">
        <f t="shared" ca="1" si="2"/>
        <v>28330</v>
      </c>
      <c r="P182" s="2" t="s">
        <v>17</v>
      </c>
    </row>
    <row r="183" spans="1:16" x14ac:dyDescent="0.25">
      <c r="A183">
        <v>11619</v>
      </c>
      <c r="B183" s="2" t="s">
        <v>32</v>
      </c>
      <c r="C183" s="2" t="s">
        <v>33</v>
      </c>
      <c r="D183" s="4">
        <v>50000</v>
      </c>
      <c r="E18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83">
        <v>0</v>
      </c>
      <c r="G183" s="2" t="s">
        <v>29</v>
      </c>
      <c r="H183" s="2" t="s">
        <v>13</v>
      </c>
      <c r="I183" t="s">
        <v>14</v>
      </c>
      <c r="J183">
        <v>0</v>
      </c>
      <c r="K183" t="s">
        <v>25</v>
      </c>
      <c r="L183" s="2" t="s">
        <v>30</v>
      </c>
      <c r="M183" s="4">
        <v>33</v>
      </c>
      <c r="N183" s="4" t="str">
        <f>IF(Bike_Data[[#This Row],[Age]]&gt;=54,"Old",IF(Bike_Data[[#This Row],[Age]]&lt;30,"Young Adult","Middle Age"))</f>
        <v>Middle Age</v>
      </c>
      <c r="O183" s="5">
        <f t="shared" ca="1" si="2"/>
        <v>30244</v>
      </c>
      <c r="P183" s="2" t="s">
        <v>17</v>
      </c>
    </row>
    <row r="184" spans="1:16" x14ac:dyDescent="0.25">
      <c r="A184">
        <v>20296</v>
      </c>
      <c r="B184" s="2" t="s">
        <v>32</v>
      </c>
      <c r="C184" s="2" t="s">
        <v>33</v>
      </c>
      <c r="D184" s="4">
        <v>60000</v>
      </c>
      <c r="E1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84">
        <v>0</v>
      </c>
      <c r="G184" s="2" t="s">
        <v>18</v>
      </c>
      <c r="H184" s="2" t="s">
        <v>13</v>
      </c>
      <c r="I184" t="s">
        <v>17</v>
      </c>
      <c r="J184">
        <v>1</v>
      </c>
      <c r="K184" t="s">
        <v>25</v>
      </c>
      <c r="L184" s="2" t="s">
        <v>30</v>
      </c>
      <c r="M184" s="4">
        <v>33</v>
      </c>
      <c r="N184" s="4" t="str">
        <f>IF(Bike_Data[[#This Row],[Age]]&gt;=54,"Old",IF(Bike_Data[[#This Row],[Age]]&lt;30,"Young Adult","Middle Age"))</f>
        <v>Middle Age</v>
      </c>
      <c r="O184" s="5">
        <f t="shared" ca="1" si="2"/>
        <v>31366</v>
      </c>
      <c r="P184" s="2" t="s">
        <v>14</v>
      </c>
    </row>
    <row r="185" spans="1:16" x14ac:dyDescent="0.25">
      <c r="A185">
        <v>12882</v>
      </c>
      <c r="B185" s="2" t="s">
        <v>31</v>
      </c>
      <c r="C185" s="2" t="s">
        <v>34</v>
      </c>
      <c r="D185" s="4">
        <v>50000</v>
      </c>
      <c r="E18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85">
        <v>1</v>
      </c>
      <c r="G185" s="2" t="s">
        <v>29</v>
      </c>
      <c r="H185" s="2" t="s">
        <v>13</v>
      </c>
      <c r="I185" t="s">
        <v>14</v>
      </c>
      <c r="J185">
        <v>0</v>
      </c>
      <c r="K185" t="s">
        <v>15</v>
      </c>
      <c r="L185" s="2" t="s">
        <v>30</v>
      </c>
      <c r="M185" s="4">
        <v>33</v>
      </c>
      <c r="N185" s="4" t="str">
        <f>IF(Bike_Data[[#This Row],[Age]]&gt;=54,"Old",IF(Bike_Data[[#This Row],[Age]]&lt;30,"Young Adult","Middle Age"))</f>
        <v>Middle Age</v>
      </c>
      <c r="O185" s="5">
        <f t="shared" ca="1" si="2"/>
        <v>30182</v>
      </c>
      <c r="P185" s="2" t="s">
        <v>14</v>
      </c>
    </row>
    <row r="186" spans="1:16" x14ac:dyDescent="0.25">
      <c r="A186">
        <v>15287</v>
      </c>
      <c r="B186" s="2" t="s">
        <v>32</v>
      </c>
      <c r="C186" s="2" t="s">
        <v>33</v>
      </c>
      <c r="D186" s="4">
        <v>50000</v>
      </c>
      <c r="E18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86">
        <v>1</v>
      </c>
      <c r="G186" s="2" t="s">
        <v>29</v>
      </c>
      <c r="H186" s="2" t="s">
        <v>13</v>
      </c>
      <c r="I186" t="s">
        <v>14</v>
      </c>
      <c r="J186">
        <v>0</v>
      </c>
      <c r="K186" t="s">
        <v>25</v>
      </c>
      <c r="L186" s="2" t="s">
        <v>30</v>
      </c>
      <c r="M186" s="4">
        <v>33</v>
      </c>
      <c r="N186" s="4" t="str">
        <f>IF(Bike_Data[[#This Row],[Age]]&gt;=54,"Old",IF(Bike_Data[[#This Row],[Age]]&lt;30,"Young Adult","Middle Age"))</f>
        <v>Middle Age</v>
      </c>
      <c r="O186" s="5">
        <f t="shared" ca="1" si="2"/>
        <v>26290</v>
      </c>
      <c r="P186" s="2" t="s">
        <v>14</v>
      </c>
    </row>
    <row r="187" spans="1:16" x14ac:dyDescent="0.25">
      <c r="A187">
        <v>26582</v>
      </c>
      <c r="B187" s="2" t="s">
        <v>31</v>
      </c>
      <c r="C187" s="2" t="s">
        <v>34</v>
      </c>
      <c r="D187" s="4">
        <v>60000</v>
      </c>
      <c r="E18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87">
        <v>0</v>
      </c>
      <c r="G187" s="2" t="s">
        <v>18</v>
      </c>
      <c r="H187" s="2" t="s">
        <v>13</v>
      </c>
      <c r="I187" t="s">
        <v>14</v>
      </c>
      <c r="J187">
        <v>2</v>
      </c>
      <c r="K187" t="s">
        <v>22</v>
      </c>
      <c r="L187" s="2" t="s">
        <v>30</v>
      </c>
      <c r="M187" s="4">
        <v>33</v>
      </c>
      <c r="N187" s="4" t="str">
        <f>IF(Bike_Data[[#This Row],[Age]]&gt;=54,"Old",IF(Bike_Data[[#This Row],[Age]]&lt;30,"Young Adult","Middle Age"))</f>
        <v>Middle Age</v>
      </c>
      <c r="O187" s="5">
        <f t="shared" ca="1" si="2"/>
        <v>30155</v>
      </c>
      <c r="P187" s="2" t="s">
        <v>14</v>
      </c>
    </row>
    <row r="188" spans="1:16" x14ac:dyDescent="0.25">
      <c r="A188">
        <v>16773</v>
      </c>
      <c r="B188" s="2" t="s">
        <v>31</v>
      </c>
      <c r="C188" s="2" t="s">
        <v>34</v>
      </c>
      <c r="D188" s="4">
        <v>60000</v>
      </c>
      <c r="E18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88">
        <v>1</v>
      </c>
      <c r="G188" s="2" t="s">
        <v>29</v>
      </c>
      <c r="H188" s="2" t="s">
        <v>13</v>
      </c>
      <c r="I188" t="s">
        <v>14</v>
      </c>
      <c r="J188">
        <v>0</v>
      </c>
      <c r="K188" t="s">
        <v>15</v>
      </c>
      <c r="L188" s="2" t="s">
        <v>30</v>
      </c>
      <c r="M188" s="4">
        <v>33</v>
      </c>
      <c r="N188" s="4" t="str">
        <f>IF(Bike_Data[[#This Row],[Age]]&gt;=54,"Old",IF(Bike_Data[[#This Row],[Age]]&lt;30,"Young Adult","Middle Age"))</f>
        <v>Middle Age</v>
      </c>
      <c r="O188" s="5">
        <f t="shared" ca="1" si="2"/>
        <v>27604</v>
      </c>
      <c r="P188" s="2" t="s">
        <v>17</v>
      </c>
    </row>
    <row r="189" spans="1:16" x14ac:dyDescent="0.25">
      <c r="A189">
        <v>15862</v>
      </c>
      <c r="B189" s="2" t="s">
        <v>32</v>
      </c>
      <c r="C189" s="2" t="s">
        <v>33</v>
      </c>
      <c r="D189" s="4">
        <v>50000</v>
      </c>
      <c r="E18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89">
        <v>0</v>
      </c>
      <c r="G189" s="2" t="s">
        <v>29</v>
      </c>
      <c r="H189" s="2" t="s">
        <v>13</v>
      </c>
      <c r="I189" t="s">
        <v>14</v>
      </c>
      <c r="J189">
        <v>0</v>
      </c>
      <c r="K189" t="s">
        <v>25</v>
      </c>
      <c r="L189" s="2" t="s">
        <v>30</v>
      </c>
      <c r="M189" s="4">
        <v>33</v>
      </c>
      <c r="N189" s="4" t="str">
        <f>IF(Bike_Data[[#This Row],[Age]]&gt;=54,"Old",IF(Bike_Data[[#This Row],[Age]]&lt;30,"Young Adult","Middle Age"))</f>
        <v>Middle Age</v>
      </c>
      <c r="O189" s="5">
        <f t="shared" ca="1" si="2"/>
        <v>34796</v>
      </c>
      <c r="P189" s="2" t="s">
        <v>14</v>
      </c>
    </row>
    <row r="190" spans="1:16" x14ac:dyDescent="0.25">
      <c r="A190">
        <v>23818</v>
      </c>
      <c r="B190" s="2" t="s">
        <v>31</v>
      </c>
      <c r="C190" s="2" t="s">
        <v>33</v>
      </c>
      <c r="D190" s="4">
        <v>50000</v>
      </c>
      <c r="E1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0">
        <v>0</v>
      </c>
      <c r="G190" s="2" t="s">
        <v>29</v>
      </c>
      <c r="H190" s="2" t="s">
        <v>13</v>
      </c>
      <c r="I190" t="s">
        <v>14</v>
      </c>
      <c r="J190">
        <v>0</v>
      </c>
      <c r="K190" t="s">
        <v>25</v>
      </c>
      <c r="L190" s="2" t="s">
        <v>30</v>
      </c>
      <c r="M190" s="4">
        <v>33</v>
      </c>
      <c r="N190" s="4" t="str">
        <f>IF(Bike_Data[[#This Row],[Age]]&gt;=54,"Old",IF(Bike_Data[[#This Row],[Age]]&lt;30,"Young Adult","Middle Age"))</f>
        <v>Middle Age</v>
      </c>
      <c r="O190" s="5">
        <f t="shared" ca="1" si="2"/>
        <v>36941</v>
      </c>
      <c r="P190" s="2" t="s">
        <v>14</v>
      </c>
    </row>
    <row r="191" spans="1:16" x14ac:dyDescent="0.25">
      <c r="A191">
        <v>27184</v>
      </c>
      <c r="B191" s="2" t="s">
        <v>32</v>
      </c>
      <c r="C191" s="2" t="s">
        <v>34</v>
      </c>
      <c r="D191" s="4">
        <v>40000</v>
      </c>
      <c r="E19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1">
        <v>2</v>
      </c>
      <c r="G191" s="2" t="s">
        <v>18</v>
      </c>
      <c r="H191" s="2" t="s">
        <v>19</v>
      </c>
      <c r="I191" t="s">
        <v>17</v>
      </c>
      <c r="J191">
        <v>1</v>
      </c>
      <c r="K191" t="s">
        <v>15</v>
      </c>
      <c r="L191" s="2" t="s">
        <v>16</v>
      </c>
      <c r="M191" s="4">
        <v>34</v>
      </c>
      <c r="N191" s="4" t="str">
        <f>IF(Bike_Data[[#This Row],[Age]]&gt;=54,"Old",IF(Bike_Data[[#This Row],[Age]]&lt;30,"Young Adult","Middle Age"))</f>
        <v>Middle Age</v>
      </c>
      <c r="O191" s="5">
        <f t="shared" ca="1" si="2"/>
        <v>26577</v>
      </c>
      <c r="P191" s="2" t="s">
        <v>17</v>
      </c>
    </row>
    <row r="192" spans="1:16" x14ac:dyDescent="0.25">
      <c r="A192">
        <v>20729</v>
      </c>
      <c r="B192" s="2" t="s">
        <v>31</v>
      </c>
      <c r="C192" s="2" t="s">
        <v>33</v>
      </c>
      <c r="D192" s="4">
        <v>40000</v>
      </c>
      <c r="E1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2">
        <v>2</v>
      </c>
      <c r="G192" s="2" t="s">
        <v>18</v>
      </c>
      <c r="H192" s="2" t="s">
        <v>19</v>
      </c>
      <c r="I192" t="s">
        <v>17</v>
      </c>
      <c r="J192">
        <v>1</v>
      </c>
      <c r="K192" t="s">
        <v>15</v>
      </c>
      <c r="L192" s="2" t="s">
        <v>16</v>
      </c>
      <c r="M192" s="4">
        <v>34</v>
      </c>
      <c r="N192" s="4" t="str">
        <f>IF(Bike_Data[[#This Row],[Age]]&gt;=54,"Old",IF(Bike_Data[[#This Row],[Age]]&lt;30,"Young Adult","Middle Age"))</f>
        <v>Middle Age</v>
      </c>
      <c r="O192" s="5">
        <f t="shared" ca="1" si="2"/>
        <v>32932</v>
      </c>
      <c r="P192" s="2" t="s">
        <v>17</v>
      </c>
    </row>
    <row r="193" spans="1:16" x14ac:dyDescent="0.25">
      <c r="A193">
        <v>20060</v>
      </c>
      <c r="B193" s="2" t="s">
        <v>32</v>
      </c>
      <c r="C193" s="2" t="s">
        <v>33</v>
      </c>
      <c r="D193" s="4">
        <v>30000</v>
      </c>
      <c r="E19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3">
        <v>0</v>
      </c>
      <c r="G193" s="2" t="s">
        <v>26</v>
      </c>
      <c r="H193" s="2" t="s">
        <v>24</v>
      </c>
      <c r="I193" t="s">
        <v>17</v>
      </c>
      <c r="J193">
        <v>1</v>
      </c>
      <c r="K193" t="s">
        <v>21</v>
      </c>
      <c r="L193" s="2" t="s">
        <v>16</v>
      </c>
      <c r="M193" s="4">
        <v>34</v>
      </c>
      <c r="N193" s="4" t="str">
        <f>IF(Bike_Data[[#This Row],[Age]]&gt;=54,"Old",IF(Bike_Data[[#This Row],[Age]]&lt;30,"Young Adult","Middle Age"))</f>
        <v>Middle Age</v>
      </c>
      <c r="O193" s="5">
        <f t="shared" ca="1" si="2"/>
        <v>26967</v>
      </c>
      <c r="P193" s="2" t="s">
        <v>14</v>
      </c>
    </row>
    <row r="194" spans="1:16" x14ac:dyDescent="0.25">
      <c r="A194">
        <v>21568</v>
      </c>
      <c r="B194" s="2" t="s">
        <v>31</v>
      </c>
      <c r="C194" s="2" t="s">
        <v>33</v>
      </c>
      <c r="D194" s="4">
        <v>100000</v>
      </c>
      <c r="E1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194">
        <v>0</v>
      </c>
      <c r="G194" s="2" t="s">
        <v>26</v>
      </c>
      <c r="H194" s="2" t="s">
        <v>27</v>
      </c>
      <c r="I194" t="s">
        <v>14</v>
      </c>
      <c r="J194">
        <v>4</v>
      </c>
      <c r="K194" t="s">
        <v>37</v>
      </c>
      <c r="L194" s="2" t="s">
        <v>23</v>
      </c>
      <c r="M194" s="4">
        <v>34</v>
      </c>
      <c r="N194" s="4" t="str">
        <f>IF(Bike_Data[[#This Row],[Age]]&gt;=54,"Old",IF(Bike_Data[[#This Row],[Age]]&lt;30,"Young Adult","Middle Age"))</f>
        <v>Middle Age</v>
      </c>
      <c r="O194" s="5">
        <f t="shared" ca="1" si="2"/>
        <v>32236</v>
      </c>
      <c r="P194" s="2" t="s">
        <v>14</v>
      </c>
    </row>
    <row r="195" spans="1:16" x14ac:dyDescent="0.25">
      <c r="A195">
        <v>14696</v>
      </c>
      <c r="B195" s="2" t="s">
        <v>32</v>
      </c>
      <c r="C195" s="2" t="s">
        <v>34</v>
      </c>
      <c r="D195" s="4">
        <v>10000</v>
      </c>
      <c r="E1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5">
        <v>0</v>
      </c>
      <c r="G195" s="2" t="s">
        <v>28</v>
      </c>
      <c r="H195" s="2" t="s">
        <v>24</v>
      </c>
      <c r="I195" t="s">
        <v>17</v>
      </c>
      <c r="J195">
        <v>2</v>
      </c>
      <c r="K195" t="s">
        <v>15</v>
      </c>
      <c r="L195" s="2" t="s">
        <v>16</v>
      </c>
      <c r="M195" s="4">
        <v>34</v>
      </c>
      <c r="N195" s="4" t="str">
        <f>IF(Bike_Data[[#This Row],[Age]]&gt;=54,"Old",IF(Bike_Data[[#This Row],[Age]]&lt;30,"Young Adult","Middle Age"))</f>
        <v>Middle Age</v>
      </c>
      <c r="O195" s="5">
        <f t="shared" ref="O195:O258" ca="1" si="3">RANDBETWEEN(DATE(1971,1,1), DATE(2003,12,31))</f>
        <v>31765</v>
      </c>
      <c r="P195" s="2" t="s">
        <v>17</v>
      </c>
    </row>
    <row r="196" spans="1:16" x14ac:dyDescent="0.25">
      <c r="A196">
        <v>27165</v>
      </c>
      <c r="B196" s="2" t="s">
        <v>32</v>
      </c>
      <c r="C196" s="2" t="s">
        <v>34</v>
      </c>
      <c r="D196" s="4">
        <v>20000</v>
      </c>
      <c r="E1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6">
        <v>0</v>
      </c>
      <c r="G196" s="2" t="s">
        <v>28</v>
      </c>
      <c r="H196" s="2" t="s">
        <v>24</v>
      </c>
      <c r="I196" t="s">
        <v>17</v>
      </c>
      <c r="J196">
        <v>2</v>
      </c>
      <c r="K196" t="s">
        <v>15</v>
      </c>
      <c r="L196" s="2" t="s">
        <v>16</v>
      </c>
      <c r="M196" s="4">
        <v>34</v>
      </c>
      <c r="N196" s="4" t="str">
        <f>IF(Bike_Data[[#This Row],[Age]]&gt;=54,"Old",IF(Bike_Data[[#This Row],[Age]]&lt;30,"Young Adult","Middle Age"))</f>
        <v>Middle Age</v>
      </c>
      <c r="O196" s="5">
        <f t="shared" ca="1" si="3"/>
        <v>27109</v>
      </c>
      <c r="P196" s="2" t="s">
        <v>17</v>
      </c>
    </row>
    <row r="197" spans="1:16" x14ac:dyDescent="0.25">
      <c r="A197">
        <v>28957</v>
      </c>
      <c r="B197" s="2" t="s">
        <v>32</v>
      </c>
      <c r="C197" s="2" t="s">
        <v>33</v>
      </c>
      <c r="D197" s="4">
        <v>120000</v>
      </c>
      <c r="E19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197">
        <v>0</v>
      </c>
      <c r="G197" s="2" t="s">
        <v>28</v>
      </c>
      <c r="H197" s="2" t="s">
        <v>20</v>
      </c>
      <c r="I197" t="s">
        <v>14</v>
      </c>
      <c r="J197">
        <v>4</v>
      </c>
      <c r="K197" t="s">
        <v>37</v>
      </c>
      <c r="L197" s="2" t="s">
        <v>23</v>
      </c>
      <c r="M197" s="4">
        <v>34</v>
      </c>
      <c r="N197" s="4" t="str">
        <f>IF(Bike_Data[[#This Row],[Age]]&gt;=54,"Old",IF(Bike_Data[[#This Row],[Age]]&lt;30,"Young Adult","Middle Age"))</f>
        <v>Middle Age</v>
      </c>
      <c r="O197" s="5">
        <f t="shared" ca="1" si="3"/>
        <v>35731</v>
      </c>
      <c r="P197" s="2" t="s">
        <v>14</v>
      </c>
    </row>
    <row r="198" spans="1:16" x14ac:dyDescent="0.25">
      <c r="A198">
        <v>13690</v>
      </c>
      <c r="B198" s="2" t="s">
        <v>32</v>
      </c>
      <c r="C198" s="2" t="s">
        <v>33</v>
      </c>
      <c r="D198" s="4">
        <v>20000</v>
      </c>
      <c r="E19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8">
        <v>0</v>
      </c>
      <c r="G198" s="2" t="s">
        <v>28</v>
      </c>
      <c r="H198" s="2" t="s">
        <v>24</v>
      </c>
      <c r="I198" t="s">
        <v>17</v>
      </c>
      <c r="J198">
        <v>2</v>
      </c>
      <c r="K198" t="s">
        <v>25</v>
      </c>
      <c r="L198" s="2" t="s">
        <v>16</v>
      </c>
      <c r="M198" s="4">
        <v>34</v>
      </c>
      <c r="N198" s="4" t="str">
        <f>IF(Bike_Data[[#This Row],[Age]]&gt;=54,"Old",IF(Bike_Data[[#This Row],[Age]]&lt;30,"Young Adult","Middle Age"))</f>
        <v>Middle Age</v>
      </c>
      <c r="O198" s="5">
        <f t="shared" ca="1" si="3"/>
        <v>33504</v>
      </c>
      <c r="P198" s="2" t="s">
        <v>14</v>
      </c>
    </row>
    <row r="199" spans="1:16" x14ac:dyDescent="0.25">
      <c r="A199">
        <v>20053</v>
      </c>
      <c r="B199" s="2" t="s">
        <v>32</v>
      </c>
      <c r="C199" s="2" t="s">
        <v>34</v>
      </c>
      <c r="D199" s="4">
        <v>40000</v>
      </c>
      <c r="E19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99">
        <v>2</v>
      </c>
      <c r="G199" s="2" t="s">
        <v>18</v>
      </c>
      <c r="H199" s="2" t="s">
        <v>19</v>
      </c>
      <c r="I199" t="s">
        <v>14</v>
      </c>
      <c r="J199">
        <v>0</v>
      </c>
      <c r="K199" t="s">
        <v>15</v>
      </c>
      <c r="L199" s="2" t="s">
        <v>16</v>
      </c>
      <c r="M199" s="4">
        <v>34</v>
      </c>
      <c r="N199" s="4" t="str">
        <f>IF(Bike_Data[[#This Row],[Age]]&gt;=54,"Old",IF(Bike_Data[[#This Row],[Age]]&lt;30,"Young Adult","Middle Age"))</f>
        <v>Middle Age</v>
      </c>
      <c r="O199" s="5">
        <f t="shared" ca="1" si="3"/>
        <v>36202</v>
      </c>
      <c r="P199" s="2" t="s">
        <v>17</v>
      </c>
    </row>
    <row r="200" spans="1:16" x14ac:dyDescent="0.25">
      <c r="A200">
        <v>27169</v>
      </c>
      <c r="B200" s="2" t="s">
        <v>32</v>
      </c>
      <c r="C200" s="2" t="s">
        <v>34</v>
      </c>
      <c r="D200" s="4">
        <v>30000</v>
      </c>
      <c r="E2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00">
        <v>0</v>
      </c>
      <c r="G200" s="2" t="s">
        <v>26</v>
      </c>
      <c r="H200" s="2" t="s">
        <v>24</v>
      </c>
      <c r="I200" t="s">
        <v>14</v>
      </c>
      <c r="J200">
        <v>1</v>
      </c>
      <c r="K200" t="s">
        <v>21</v>
      </c>
      <c r="L200" s="2" t="s">
        <v>16</v>
      </c>
      <c r="M200" s="4">
        <v>34</v>
      </c>
      <c r="N200" s="4" t="str">
        <f>IF(Bike_Data[[#This Row],[Age]]&gt;=54,"Old",IF(Bike_Data[[#This Row],[Age]]&lt;30,"Young Adult","Middle Age"))</f>
        <v>Middle Age</v>
      </c>
      <c r="O200" s="5">
        <f t="shared" ca="1" si="3"/>
        <v>35963</v>
      </c>
      <c r="P200" s="2" t="s">
        <v>14</v>
      </c>
    </row>
    <row r="201" spans="1:16" x14ac:dyDescent="0.25">
      <c r="A201">
        <v>21891</v>
      </c>
      <c r="B201" s="2" t="s">
        <v>31</v>
      </c>
      <c r="C201" s="2" t="s">
        <v>33</v>
      </c>
      <c r="D201" s="4">
        <v>110000</v>
      </c>
      <c r="E20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201">
        <v>0</v>
      </c>
      <c r="G201" s="2" t="s">
        <v>26</v>
      </c>
      <c r="H201" s="2" t="s">
        <v>27</v>
      </c>
      <c r="I201" t="s">
        <v>14</v>
      </c>
      <c r="J201">
        <v>3</v>
      </c>
      <c r="K201" t="s">
        <v>37</v>
      </c>
      <c r="L201" s="2" t="s">
        <v>23</v>
      </c>
      <c r="M201" s="4">
        <v>34</v>
      </c>
      <c r="N201" s="4" t="str">
        <f>IF(Bike_Data[[#This Row],[Age]]&gt;=54,"Old",IF(Bike_Data[[#This Row],[Age]]&lt;30,"Young Adult","Middle Age"))</f>
        <v>Middle Age</v>
      </c>
      <c r="O201" s="5">
        <f t="shared" ca="1" si="3"/>
        <v>33785</v>
      </c>
      <c r="P201" s="2" t="s">
        <v>14</v>
      </c>
    </row>
    <row r="202" spans="1:16" x14ac:dyDescent="0.25">
      <c r="A202">
        <v>21561</v>
      </c>
      <c r="B202" s="2" t="s">
        <v>32</v>
      </c>
      <c r="C202" s="2" t="s">
        <v>34</v>
      </c>
      <c r="D202" s="4">
        <v>90000</v>
      </c>
      <c r="E20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02">
        <v>0</v>
      </c>
      <c r="G202" s="2" t="s">
        <v>12</v>
      </c>
      <c r="H202" s="2" t="s">
        <v>20</v>
      </c>
      <c r="I202" t="s">
        <v>17</v>
      </c>
      <c r="J202">
        <v>3</v>
      </c>
      <c r="K202" t="s">
        <v>37</v>
      </c>
      <c r="L202" s="2" t="s">
        <v>23</v>
      </c>
      <c r="M202" s="4">
        <v>34</v>
      </c>
      <c r="N202" s="4" t="str">
        <f>IF(Bike_Data[[#This Row],[Age]]&gt;=54,"Old",IF(Bike_Data[[#This Row],[Age]]&lt;30,"Young Adult","Middle Age"))</f>
        <v>Middle Age</v>
      </c>
      <c r="O202" s="5">
        <f t="shared" ca="1" si="3"/>
        <v>31271</v>
      </c>
      <c r="P202" s="2" t="s">
        <v>14</v>
      </c>
    </row>
    <row r="203" spans="1:16" x14ac:dyDescent="0.25">
      <c r="A203">
        <v>12389</v>
      </c>
      <c r="B203" s="2" t="s">
        <v>32</v>
      </c>
      <c r="C203" s="2" t="s">
        <v>34</v>
      </c>
      <c r="D203" s="4">
        <v>30000</v>
      </c>
      <c r="E20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03">
        <v>0</v>
      </c>
      <c r="G203" s="2" t="s">
        <v>26</v>
      </c>
      <c r="H203" s="2" t="s">
        <v>24</v>
      </c>
      <c r="I203" t="s">
        <v>17</v>
      </c>
      <c r="J203">
        <v>1</v>
      </c>
      <c r="K203" t="s">
        <v>21</v>
      </c>
      <c r="L203" s="2" t="s">
        <v>16</v>
      </c>
      <c r="M203" s="4">
        <v>34</v>
      </c>
      <c r="N203" s="4" t="str">
        <f>IF(Bike_Data[[#This Row],[Age]]&gt;=54,"Old",IF(Bike_Data[[#This Row],[Age]]&lt;30,"Young Adult","Middle Age"))</f>
        <v>Middle Age</v>
      </c>
      <c r="O203" s="5">
        <f t="shared" ca="1" si="3"/>
        <v>36571</v>
      </c>
      <c r="P203" s="2" t="s">
        <v>17</v>
      </c>
    </row>
    <row r="204" spans="1:16" x14ac:dyDescent="0.25">
      <c r="A204">
        <v>15629</v>
      </c>
      <c r="B204" s="2" t="s">
        <v>32</v>
      </c>
      <c r="C204" s="2" t="s">
        <v>33</v>
      </c>
      <c r="D204" s="4">
        <v>10000</v>
      </c>
      <c r="E20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04">
        <v>0</v>
      </c>
      <c r="G204" s="2" t="s">
        <v>28</v>
      </c>
      <c r="H204" s="2" t="s">
        <v>24</v>
      </c>
      <c r="I204" t="s">
        <v>14</v>
      </c>
      <c r="J204">
        <v>2</v>
      </c>
      <c r="K204" t="s">
        <v>25</v>
      </c>
      <c r="L204" s="2" t="s">
        <v>16</v>
      </c>
      <c r="M204" s="4">
        <v>34</v>
      </c>
      <c r="N204" s="4" t="str">
        <f>IF(Bike_Data[[#This Row],[Age]]&gt;=54,"Old",IF(Bike_Data[[#This Row],[Age]]&lt;30,"Young Adult","Middle Age"))</f>
        <v>Middle Age</v>
      </c>
      <c r="O204" s="5">
        <f t="shared" ca="1" si="3"/>
        <v>30024</v>
      </c>
      <c r="P204" s="2" t="s">
        <v>17</v>
      </c>
    </row>
    <row r="205" spans="1:16" x14ac:dyDescent="0.25">
      <c r="A205">
        <v>15302</v>
      </c>
      <c r="B205" s="2" t="s">
        <v>32</v>
      </c>
      <c r="C205" s="2" t="s">
        <v>33</v>
      </c>
      <c r="D205" s="4">
        <v>70000</v>
      </c>
      <c r="E20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05">
        <v>1</v>
      </c>
      <c r="G205" s="2" t="s">
        <v>29</v>
      </c>
      <c r="H205" s="2" t="s">
        <v>20</v>
      </c>
      <c r="I205" t="s">
        <v>14</v>
      </c>
      <c r="J205">
        <v>0</v>
      </c>
      <c r="K205" t="s">
        <v>21</v>
      </c>
      <c r="L205" s="2" t="s">
        <v>30</v>
      </c>
      <c r="M205" s="4">
        <v>34</v>
      </c>
      <c r="N205" s="4" t="str">
        <f>IF(Bike_Data[[#This Row],[Age]]&gt;=54,"Old",IF(Bike_Data[[#This Row],[Age]]&lt;30,"Young Adult","Middle Age"))</f>
        <v>Middle Age</v>
      </c>
      <c r="O205" s="5">
        <f t="shared" ca="1" si="3"/>
        <v>29570</v>
      </c>
      <c r="P205" s="2" t="s">
        <v>14</v>
      </c>
    </row>
    <row r="206" spans="1:16" x14ac:dyDescent="0.25">
      <c r="A206">
        <v>19235</v>
      </c>
      <c r="B206" s="2" t="s">
        <v>31</v>
      </c>
      <c r="C206" s="2" t="s">
        <v>33</v>
      </c>
      <c r="D206" s="4">
        <v>50000</v>
      </c>
      <c r="E20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06">
        <v>0</v>
      </c>
      <c r="G206" s="2" t="s">
        <v>29</v>
      </c>
      <c r="H206" s="2" t="s">
        <v>13</v>
      </c>
      <c r="I206" t="s">
        <v>14</v>
      </c>
      <c r="J206">
        <v>0</v>
      </c>
      <c r="K206" t="s">
        <v>15</v>
      </c>
      <c r="L206" s="2" t="s">
        <v>30</v>
      </c>
      <c r="M206" s="4">
        <v>34</v>
      </c>
      <c r="N206" s="4" t="str">
        <f>IF(Bike_Data[[#This Row],[Age]]&gt;=54,"Old",IF(Bike_Data[[#This Row],[Age]]&lt;30,"Young Adult","Middle Age"))</f>
        <v>Middle Age</v>
      </c>
      <c r="O206" s="5">
        <f t="shared" ca="1" si="3"/>
        <v>36625</v>
      </c>
      <c r="P206" s="2" t="s">
        <v>17</v>
      </c>
    </row>
    <row r="207" spans="1:16" x14ac:dyDescent="0.25">
      <c r="A207">
        <v>23586</v>
      </c>
      <c r="B207" s="2" t="s">
        <v>31</v>
      </c>
      <c r="C207" s="2" t="s">
        <v>33</v>
      </c>
      <c r="D207" s="4">
        <v>80000</v>
      </c>
      <c r="E20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07">
        <v>0</v>
      </c>
      <c r="G207" s="2" t="s">
        <v>12</v>
      </c>
      <c r="H207" s="2" t="s">
        <v>27</v>
      </c>
      <c r="I207" t="s">
        <v>14</v>
      </c>
      <c r="J207">
        <v>1</v>
      </c>
      <c r="K207" t="s">
        <v>25</v>
      </c>
      <c r="L207" s="2" t="s">
        <v>30</v>
      </c>
      <c r="M207" s="4">
        <v>34</v>
      </c>
      <c r="N207" s="4" t="str">
        <f>IF(Bike_Data[[#This Row],[Age]]&gt;=54,"Old",IF(Bike_Data[[#This Row],[Age]]&lt;30,"Young Adult","Middle Age"))</f>
        <v>Middle Age</v>
      </c>
      <c r="O207" s="5">
        <f t="shared" ca="1" si="3"/>
        <v>33674</v>
      </c>
      <c r="P207" s="2" t="s">
        <v>14</v>
      </c>
    </row>
    <row r="208" spans="1:16" x14ac:dyDescent="0.25">
      <c r="A208">
        <v>25375</v>
      </c>
      <c r="B208" s="2" t="s">
        <v>31</v>
      </c>
      <c r="C208" s="2" t="s">
        <v>34</v>
      </c>
      <c r="D208" s="4">
        <v>50000</v>
      </c>
      <c r="E20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08">
        <v>1</v>
      </c>
      <c r="G208" s="2" t="s">
        <v>29</v>
      </c>
      <c r="H208" s="2" t="s">
        <v>13</v>
      </c>
      <c r="I208" t="s">
        <v>14</v>
      </c>
      <c r="J208">
        <v>0</v>
      </c>
      <c r="K208" t="s">
        <v>25</v>
      </c>
      <c r="L208" s="2" t="s">
        <v>30</v>
      </c>
      <c r="M208" s="4">
        <v>34</v>
      </c>
      <c r="N208" s="4" t="str">
        <f>IF(Bike_Data[[#This Row],[Age]]&gt;=54,"Old",IF(Bike_Data[[#This Row],[Age]]&lt;30,"Young Adult","Middle Age"))</f>
        <v>Middle Age</v>
      </c>
      <c r="O208" s="5">
        <f t="shared" ca="1" si="3"/>
        <v>31845</v>
      </c>
      <c r="P208" s="2" t="s">
        <v>17</v>
      </c>
    </row>
    <row r="209" spans="1:16" x14ac:dyDescent="0.25">
      <c r="A209">
        <v>18560</v>
      </c>
      <c r="B209" s="2" t="s">
        <v>31</v>
      </c>
      <c r="C209" s="2" t="s">
        <v>33</v>
      </c>
      <c r="D209" s="4">
        <v>70000</v>
      </c>
      <c r="E20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09">
        <v>2</v>
      </c>
      <c r="G209" s="2" t="s">
        <v>29</v>
      </c>
      <c r="H209" s="2" t="s">
        <v>20</v>
      </c>
      <c r="I209" t="s">
        <v>14</v>
      </c>
      <c r="J209">
        <v>0</v>
      </c>
      <c r="K209" t="s">
        <v>21</v>
      </c>
      <c r="L209" s="2" t="s">
        <v>30</v>
      </c>
      <c r="M209" s="4">
        <v>34</v>
      </c>
      <c r="N209" s="4" t="str">
        <f>IF(Bike_Data[[#This Row],[Age]]&gt;=54,"Old",IF(Bike_Data[[#This Row],[Age]]&lt;30,"Young Adult","Middle Age"))</f>
        <v>Middle Age</v>
      </c>
      <c r="O209" s="5">
        <f t="shared" ca="1" si="3"/>
        <v>27284</v>
      </c>
      <c r="P209" s="2" t="s">
        <v>14</v>
      </c>
    </row>
    <row r="210" spans="1:16" x14ac:dyDescent="0.25">
      <c r="A210">
        <v>21266</v>
      </c>
      <c r="B210" s="2" t="s">
        <v>32</v>
      </c>
      <c r="C210" s="2" t="s">
        <v>33</v>
      </c>
      <c r="D210" s="4">
        <v>80000</v>
      </c>
      <c r="E21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0">
        <v>0</v>
      </c>
      <c r="G210" s="2" t="s">
        <v>12</v>
      </c>
      <c r="H210" s="2" t="s">
        <v>27</v>
      </c>
      <c r="I210" t="s">
        <v>14</v>
      </c>
      <c r="J210">
        <v>1</v>
      </c>
      <c r="K210" t="s">
        <v>25</v>
      </c>
      <c r="L210" s="2" t="s">
        <v>30</v>
      </c>
      <c r="M210" s="4">
        <v>34</v>
      </c>
      <c r="N210" s="4" t="str">
        <f>IF(Bike_Data[[#This Row],[Age]]&gt;=54,"Old",IF(Bike_Data[[#This Row],[Age]]&lt;30,"Young Adult","Middle Age"))</f>
        <v>Middle Age</v>
      </c>
      <c r="O210" s="5">
        <f t="shared" ca="1" si="3"/>
        <v>36218</v>
      </c>
      <c r="P210" s="2" t="s">
        <v>14</v>
      </c>
    </row>
    <row r="211" spans="1:16" x14ac:dyDescent="0.25">
      <c r="A211">
        <v>22994</v>
      </c>
      <c r="B211" s="2" t="s">
        <v>31</v>
      </c>
      <c r="C211" s="2" t="s">
        <v>33</v>
      </c>
      <c r="D211" s="4">
        <v>80000</v>
      </c>
      <c r="E21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1">
        <v>0</v>
      </c>
      <c r="G211" s="2" t="s">
        <v>12</v>
      </c>
      <c r="H211" s="2" t="s">
        <v>27</v>
      </c>
      <c r="I211" t="s">
        <v>14</v>
      </c>
      <c r="J211">
        <v>1</v>
      </c>
      <c r="K211" t="s">
        <v>25</v>
      </c>
      <c r="L211" s="2" t="s">
        <v>30</v>
      </c>
      <c r="M211" s="4">
        <v>34</v>
      </c>
      <c r="N211" s="4" t="str">
        <f>IF(Bike_Data[[#This Row],[Age]]&gt;=54,"Old",IF(Bike_Data[[#This Row],[Age]]&lt;30,"Young Adult","Middle Age"))</f>
        <v>Middle Age</v>
      </c>
      <c r="O211" s="5">
        <f t="shared" ca="1" si="3"/>
        <v>31682</v>
      </c>
      <c r="P211" s="2" t="s">
        <v>14</v>
      </c>
    </row>
    <row r="212" spans="1:16" x14ac:dyDescent="0.25">
      <c r="A212">
        <v>23144</v>
      </c>
      <c r="B212" s="2" t="s">
        <v>31</v>
      </c>
      <c r="C212" s="2" t="s">
        <v>34</v>
      </c>
      <c r="D212" s="4">
        <v>50000</v>
      </c>
      <c r="E21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12">
        <v>1</v>
      </c>
      <c r="G212" s="2" t="s">
        <v>12</v>
      </c>
      <c r="H212" s="2" t="s">
        <v>13</v>
      </c>
      <c r="I212" t="s">
        <v>14</v>
      </c>
      <c r="J212">
        <v>0</v>
      </c>
      <c r="K212" t="s">
        <v>15</v>
      </c>
      <c r="L212" s="2" t="s">
        <v>30</v>
      </c>
      <c r="M212" s="4">
        <v>34</v>
      </c>
      <c r="N212" s="4" t="str">
        <f>IF(Bike_Data[[#This Row],[Age]]&gt;=54,"Old",IF(Bike_Data[[#This Row],[Age]]&lt;30,"Young Adult","Middle Age"))</f>
        <v>Middle Age</v>
      </c>
      <c r="O212" s="5">
        <f t="shared" ca="1" si="3"/>
        <v>31588</v>
      </c>
      <c r="P212" s="2" t="s">
        <v>14</v>
      </c>
    </row>
    <row r="213" spans="1:16" x14ac:dyDescent="0.25">
      <c r="A213">
        <v>16753</v>
      </c>
      <c r="B213" s="2" t="s">
        <v>32</v>
      </c>
      <c r="C213" s="2" t="s">
        <v>33</v>
      </c>
      <c r="D213" s="4">
        <v>70000</v>
      </c>
      <c r="E21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3">
        <v>0</v>
      </c>
      <c r="G213" s="2" t="s">
        <v>18</v>
      </c>
      <c r="H213" s="2" t="s">
        <v>13</v>
      </c>
      <c r="I213" t="s">
        <v>14</v>
      </c>
      <c r="J213">
        <v>2</v>
      </c>
      <c r="K213" t="s">
        <v>22</v>
      </c>
      <c r="L213" s="2" t="s">
        <v>30</v>
      </c>
      <c r="M213" s="4">
        <v>34</v>
      </c>
      <c r="N213" s="4" t="str">
        <f>IF(Bike_Data[[#This Row],[Age]]&gt;=54,"Old",IF(Bike_Data[[#This Row],[Age]]&lt;30,"Young Adult","Middle Age"))</f>
        <v>Middle Age</v>
      </c>
      <c r="O213" s="5">
        <f t="shared" ca="1" si="3"/>
        <v>37078</v>
      </c>
      <c r="P213" s="2" t="s">
        <v>14</v>
      </c>
    </row>
    <row r="214" spans="1:16" x14ac:dyDescent="0.25">
      <c r="A214">
        <v>11783</v>
      </c>
      <c r="B214" s="2" t="s">
        <v>31</v>
      </c>
      <c r="C214" s="2" t="s">
        <v>33</v>
      </c>
      <c r="D214" s="4">
        <v>60000</v>
      </c>
      <c r="E21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4">
        <v>1</v>
      </c>
      <c r="G214" s="2" t="s">
        <v>29</v>
      </c>
      <c r="H214" s="2" t="s">
        <v>13</v>
      </c>
      <c r="I214" t="s">
        <v>14</v>
      </c>
      <c r="J214">
        <v>0</v>
      </c>
      <c r="K214" t="s">
        <v>15</v>
      </c>
      <c r="L214" s="2" t="s">
        <v>30</v>
      </c>
      <c r="M214" s="4">
        <v>34</v>
      </c>
      <c r="N214" s="4" t="str">
        <f>IF(Bike_Data[[#This Row],[Age]]&gt;=54,"Old",IF(Bike_Data[[#This Row],[Age]]&lt;30,"Young Adult","Middle Age"))</f>
        <v>Middle Age</v>
      </c>
      <c r="O214" s="5">
        <f t="shared" ca="1" si="3"/>
        <v>29706</v>
      </c>
      <c r="P214" s="2" t="s">
        <v>17</v>
      </c>
    </row>
    <row r="215" spans="1:16" x14ac:dyDescent="0.25">
      <c r="A215">
        <v>11807</v>
      </c>
      <c r="B215" s="2" t="s">
        <v>31</v>
      </c>
      <c r="C215" s="2" t="s">
        <v>34</v>
      </c>
      <c r="D215" s="4">
        <v>70000</v>
      </c>
      <c r="E21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5">
        <v>3</v>
      </c>
      <c r="G215" s="2" t="s">
        <v>29</v>
      </c>
      <c r="H215" s="2" t="s">
        <v>20</v>
      </c>
      <c r="I215" t="s">
        <v>14</v>
      </c>
      <c r="J215">
        <v>0</v>
      </c>
      <c r="K215" t="s">
        <v>21</v>
      </c>
      <c r="L215" s="2" t="s">
        <v>30</v>
      </c>
      <c r="M215" s="4">
        <v>34</v>
      </c>
      <c r="N215" s="4" t="str">
        <f>IF(Bike_Data[[#This Row],[Age]]&gt;=54,"Old",IF(Bike_Data[[#This Row],[Age]]&lt;30,"Young Adult","Middle Age"))</f>
        <v>Middle Age</v>
      </c>
      <c r="O215" s="5">
        <f t="shared" ca="1" si="3"/>
        <v>26010</v>
      </c>
      <c r="P215" s="2" t="s">
        <v>17</v>
      </c>
    </row>
    <row r="216" spans="1:16" x14ac:dyDescent="0.25">
      <c r="A216">
        <v>21583</v>
      </c>
      <c r="B216" s="2" t="s">
        <v>31</v>
      </c>
      <c r="C216" s="2" t="s">
        <v>33</v>
      </c>
      <c r="D216" s="4">
        <v>50000</v>
      </c>
      <c r="E21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16">
        <v>1</v>
      </c>
      <c r="G216" s="2" t="s">
        <v>12</v>
      </c>
      <c r="H216" s="2" t="s">
        <v>13</v>
      </c>
      <c r="I216" t="s">
        <v>14</v>
      </c>
      <c r="J216">
        <v>0</v>
      </c>
      <c r="K216" t="s">
        <v>15</v>
      </c>
      <c r="L216" s="2" t="s">
        <v>30</v>
      </c>
      <c r="M216" s="4">
        <v>34</v>
      </c>
      <c r="N216" s="4" t="str">
        <f>IF(Bike_Data[[#This Row],[Age]]&gt;=54,"Old",IF(Bike_Data[[#This Row],[Age]]&lt;30,"Young Adult","Middle Age"))</f>
        <v>Middle Age</v>
      </c>
      <c r="O216" s="5">
        <f t="shared" ca="1" si="3"/>
        <v>29092</v>
      </c>
      <c r="P216" s="2" t="s">
        <v>14</v>
      </c>
    </row>
    <row r="217" spans="1:16" x14ac:dyDescent="0.25">
      <c r="A217">
        <v>25394</v>
      </c>
      <c r="B217" s="2" t="s">
        <v>31</v>
      </c>
      <c r="C217" s="2" t="s">
        <v>34</v>
      </c>
      <c r="D217" s="4">
        <v>60000</v>
      </c>
      <c r="E21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7">
        <v>1</v>
      </c>
      <c r="G217" s="2" t="s">
        <v>29</v>
      </c>
      <c r="H217" s="2" t="s">
        <v>20</v>
      </c>
      <c r="I217" t="s">
        <v>14</v>
      </c>
      <c r="J217">
        <v>0</v>
      </c>
      <c r="K217" t="s">
        <v>21</v>
      </c>
      <c r="L217" s="2" t="s">
        <v>30</v>
      </c>
      <c r="M217" s="4">
        <v>34</v>
      </c>
      <c r="N217" s="4" t="str">
        <f>IF(Bike_Data[[#This Row],[Age]]&gt;=54,"Old",IF(Bike_Data[[#This Row],[Age]]&lt;30,"Young Adult","Middle Age"))</f>
        <v>Middle Age</v>
      </c>
      <c r="O217" s="5">
        <f t="shared" ca="1" si="3"/>
        <v>35780</v>
      </c>
      <c r="P217" s="2" t="s">
        <v>14</v>
      </c>
    </row>
    <row r="218" spans="1:16" x14ac:dyDescent="0.25">
      <c r="A218">
        <v>22042</v>
      </c>
      <c r="B218" s="2" t="s">
        <v>31</v>
      </c>
      <c r="C218" s="2" t="s">
        <v>33</v>
      </c>
      <c r="D218" s="4">
        <v>70000</v>
      </c>
      <c r="E21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8">
        <v>0</v>
      </c>
      <c r="G218" s="2" t="s">
        <v>18</v>
      </c>
      <c r="H218" s="2" t="s">
        <v>13</v>
      </c>
      <c r="I218" t="s">
        <v>14</v>
      </c>
      <c r="J218">
        <v>2</v>
      </c>
      <c r="K218" t="s">
        <v>22</v>
      </c>
      <c r="L218" s="2" t="s">
        <v>30</v>
      </c>
      <c r="M218" s="4">
        <v>34</v>
      </c>
      <c r="N218" s="4" t="str">
        <f>IF(Bike_Data[[#This Row],[Age]]&gt;=54,"Old",IF(Bike_Data[[#This Row],[Age]]&lt;30,"Young Adult","Middle Age"))</f>
        <v>Middle Age</v>
      </c>
      <c r="O218" s="5">
        <f t="shared" ca="1" si="3"/>
        <v>28191</v>
      </c>
      <c r="P218" s="2" t="s">
        <v>14</v>
      </c>
    </row>
    <row r="219" spans="1:16" x14ac:dyDescent="0.25">
      <c r="A219">
        <v>21587</v>
      </c>
      <c r="B219" s="2" t="s">
        <v>31</v>
      </c>
      <c r="C219" s="2" t="s">
        <v>33</v>
      </c>
      <c r="D219" s="4">
        <v>60000</v>
      </c>
      <c r="E21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19">
        <v>1</v>
      </c>
      <c r="G219" s="2" t="s">
        <v>29</v>
      </c>
      <c r="H219" s="2" t="s">
        <v>13</v>
      </c>
      <c r="I219" t="s">
        <v>14</v>
      </c>
      <c r="J219">
        <v>0</v>
      </c>
      <c r="K219" t="s">
        <v>21</v>
      </c>
      <c r="L219" s="2" t="s">
        <v>30</v>
      </c>
      <c r="M219" s="4">
        <v>34</v>
      </c>
      <c r="N219" s="4" t="str">
        <f>IF(Bike_Data[[#This Row],[Age]]&gt;=54,"Old",IF(Bike_Data[[#This Row],[Age]]&lt;30,"Young Adult","Middle Age"))</f>
        <v>Middle Age</v>
      </c>
      <c r="O219" s="5">
        <f t="shared" ca="1" si="3"/>
        <v>29416</v>
      </c>
      <c r="P219" s="2" t="s">
        <v>14</v>
      </c>
    </row>
    <row r="220" spans="1:16" x14ac:dyDescent="0.25">
      <c r="A220">
        <v>26298</v>
      </c>
      <c r="B220" s="2" t="s">
        <v>31</v>
      </c>
      <c r="C220" s="2" t="s">
        <v>33</v>
      </c>
      <c r="D220" s="4">
        <v>50000</v>
      </c>
      <c r="E22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0">
        <v>1</v>
      </c>
      <c r="G220" s="2" t="s">
        <v>12</v>
      </c>
      <c r="H220" s="2" t="s">
        <v>13</v>
      </c>
      <c r="I220" t="s">
        <v>14</v>
      </c>
      <c r="J220">
        <v>0</v>
      </c>
      <c r="K220" t="s">
        <v>21</v>
      </c>
      <c r="L220" s="2" t="s">
        <v>30</v>
      </c>
      <c r="M220" s="4">
        <v>34</v>
      </c>
      <c r="N220" s="4" t="str">
        <f>IF(Bike_Data[[#This Row],[Age]]&gt;=54,"Old",IF(Bike_Data[[#This Row],[Age]]&lt;30,"Young Adult","Middle Age"))</f>
        <v>Middle Age</v>
      </c>
      <c r="O220" s="5">
        <f t="shared" ca="1" si="3"/>
        <v>26611</v>
      </c>
      <c r="P220" s="2" t="s">
        <v>14</v>
      </c>
    </row>
    <row r="221" spans="1:16" x14ac:dyDescent="0.25">
      <c r="A221">
        <v>11788</v>
      </c>
      <c r="B221" s="2" t="s">
        <v>32</v>
      </c>
      <c r="C221" s="2" t="s">
        <v>33</v>
      </c>
      <c r="D221" s="4">
        <v>70000</v>
      </c>
      <c r="E22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21">
        <v>1</v>
      </c>
      <c r="G221" s="2" t="s">
        <v>29</v>
      </c>
      <c r="H221" s="2" t="s">
        <v>20</v>
      </c>
      <c r="I221" t="s">
        <v>14</v>
      </c>
      <c r="J221">
        <v>0</v>
      </c>
      <c r="K221" t="s">
        <v>21</v>
      </c>
      <c r="L221" s="2" t="s">
        <v>30</v>
      </c>
      <c r="M221" s="4">
        <v>34</v>
      </c>
      <c r="N221" s="4" t="str">
        <f>IF(Bike_Data[[#This Row],[Age]]&gt;=54,"Old",IF(Bike_Data[[#This Row],[Age]]&lt;30,"Young Adult","Middle Age"))</f>
        <v>Middle Age</v>
      </c>
      <c r="O221" s="5">
        <f t="shared" ca="1" si="3"/>
        <v>33257</v>
      </c>
      <c r="P221" s="2" t="s">
        <v>17</v>
      </c>
    </row>
    <row r="222" spans="1:16" x14ac:dyDescent="0.25">
      <c r="A222">
        <v>25323</v>
      </c>
      <c r="B222" s="2" t="s">
        <v>31</v>
      </c>
      <c r="C222" s="2" t="s">
        <v>34</v>
      </c>
      <c r="D222" s="4">
        <v>40000</v>
      </c>
      <c r="E22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2">
        <v>2</v>
      </c>
      <c r="G222" s="2" t="s">
        <v>18</v>
      </c>
      <c r="H222" s="2" t="s">
        <v>19</v>
      </c>
      <c r="I222" t="s">
        <v>14</v>
      </c>
      <c r="J222">
        <v>1</v>
      </c>
      <c r="K222" t="s">
        <v>25</v>
      </c>
      <c r="L222" s="2" t="s">
        <v>16</v>
      </c>
      <c r="M222" s="4">
        <v>35</v>
      </c>
      <c r="N222" s="4" t="str">
        <f>IF(Bike_Data[[#This Row],[Age]]&gt;=54,"Old",IF(Bike_Data[[#This Row],[Age]]&lt;30,"Young Adult","Middle Age"))</f>
        <v>Middle Age</v>
      </c>
      <c r="O222" s="5">
        <f t="shared" ca="1" si="3"/>
        <v>33113</v>
      </c>
      <c r="P222" s="2" t="s">
        <v>14</v>
      </c>
    </row>
    <row r="223" spans="1:16" x14ac:dyDescent="0.25">
      <c r="A223">
        <v>27183</v>
      </c>
      <c r="B223" s="2" t="s">
        <v>32</v>
      </c>
      <c r="C223" s="2" t="s">
        <v>34</v>
      </c>
      <c r="D223" s="4">
        <v>40000</v>
      </c>
      <c r="E22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3">
        <v>2</v>
      </c>
      <c r="G223" s="2" t="s">
        <v>18</v>
      </c>
      <c r="H223" s="2" t="s">
        <v>19</v>
      </c>
      <c r="I223" t="s">
        <v>14</v>
      </c>
      <c r="J223">
        <v>1</v>
      </c>
      <c r="K223" t="s">
        <v>25</v>
      </c>
      <c r="L223" s="2" t="s">
        <v>16</v>
      </c>
      <c r="M223" s="4">
        <v>35</v>
      </c>
      <c r="N223" s="4" t="str">
        <f>IF(Bike_Data[[#This Row],[Age]]&gt;=54,"Old",IF(Bike_Data[[#This Row],[Age]]&lt;30,"Young Adult","Middle Age"))</f>
        <v>Middle Age</v>
      </c>
      <c r="O223" s="5">
        <f t="shared" ca="1" si="3"/>
        <v>26165</v>
      </c>
      <c r="P223" s="2" t="s">
        <v>14</v>
      </c>
    </row>
    <row r="224" spans="1:16" x14ac:dyDescent="0.25">
      <c r="A224">
        <v>21564</v>
      </c>
      <c r="B224" s="2" t="s">
        <v>32</v>
      </c>
      <c r="C224" s="2" t="s">
        <v>33</v>
      </c>
      <c r="D224" s="4">
        <v>80000</v>
      </c>
      <c r="E22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24">
        <v>0</v>
      </c>
      <c r="G224" s="2" t="s">
        <v>12</v>
      </c>
      <c r="H224" s="2" t="s">
        <v>20</v>
      </c>
      <c r="I224" t="s">
        <v>14</v>
      </c>
      <c r="J224">
        <v>4</v>
      </c>
      <c r="K224" t="s">
        <v>37</v>
      </c>
      <c r="L224" s="2" t="s">
        <v>23</v>
      </c>
      <c r="M224" s="4">
        <v>35</v>
      </c>
      <c r="N224" s="4" t="str">
        <f>IF(Bike_Data[[#This Row],[Age]]&gt;=54,"Old",IF(Bike_Data[[#This Row],[Age]]&lt;30,"Young Adult","Middle Age"))</f>
        <v>Middle Age</v>
      </c>
      <c r="O224" s="5">
        <f t="shared" ca="1" si="3"/>
        <v>34610</v>
      </c>
      <c r="P224" s="2" t="s">
        <v>17</v>
      </c>
    </row>
    <row r="225" spans="1:16" x14ac:dyDescent="0.25">
      <c r="A225">
        <v>19193</v>
      </c>
      <c r="B225" s="2" t="s">
        <v>32</v>
      </c>
      <c r="C225" s="2" t="s">
        <v>34</v>
      </c>
      <c r="D225" s="4">
        <v>40000</v>
      </c>
      <c r="E22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5">
        <v>2</v>
      </c>
      <c r="G225" s="2" t="s">
        <v>18</v>
      </c>
      <c r="H225" s="2" t="s">
        <v>19</v>
      </c>
      <c r="I225" t="s">
        <v>14</v>
      </c>
      <c r="J225">
        <v>0</v>
      </c>
      <c r="K225" t="s">
        <v>25</v>
      </c>
      <c r="L225" s="2" t="s">
        <v>16</v>
      </c>
      <c r="M225" s="4">
        <v>35</v>
      </c>
      <c r="N225" s="4" t="str">
        <f>IF(Bike_Data[[#This Row],[Age]]&gt;=54,"Old",IF(Bike_Data[[#This Row],[Age]]&lt;30,"Young Adult","Middle Age"))</f>
        <v>Middle Age</v>
      </c>
      <c r="O225" s="5">
        <f t="shared" ca="1" si="3"/>
        <v>31531</v>
      </c>
      <c r="P225" s="2" t="s">
        <v>14</v>
      </c>
    </row>
    <row r="226" spans="1:16" x14ac:dyDescent="0.25">
      <c r="A226">
        <v>20619</v>
      </c>
      <c r="B226" s="2" t="s">
        <v>32</v>
      </c>
      <c r="C226" s="2" t="s">
        <v>34</v>
      </c>
      <c r="D226" s="4">
        <v>80000</v>
      </c>
      <c r="E22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26">
        <v>0</v>
      </c>
      <c r="G226" s="2" t="s">
        <v>12</v>
      </c>
      <c r="H226" s="2" t="s">
        <v>20</v>
      </c>
      <c r="I226" t="s">
        <v>17</v>
      </c>
      <c r="J226">
        <v>4</v>
      </c>
      <c r="K226" t="s">
        <v>37</v>
      </c>
      <c r="L226" s="2" t="s">
        <v>23</v>
      </c>
      <c r="M226" s="4">
        <v>35</v>
      </c>
      <c r="N226" s="4" t="str">
        <f>IF(Bike_Data[[#This Row],[Age]]&gt;=54,"Old",IF(Bike_Data[[#This Row],[Age]]&lt;30,"Young Adult","Middle Age"))</f>
        <v>Middle Age</v>
      </c>
      <c r="O226" s="5">
        <f t="shared" ca="1" si="3"/>
        <v>36990</v>
      </c>
      <c r="P226" s="2" t="s">
        <v>17</v>
      </c>
    </row>
    <row r="227" spans="1:16" x14ac:dyDescent="0.25">
      <c r="A227">
        <v>19291</v>
      </c>
      <c r="B227" s="2" t="s">
        <v>32</v>
      </c>
      <c r="C227" s="2" t="s">
        <v>33</v>
      </c>
      <c r="D227" s="4">
        <v>10000</v>
      </c>
      <c r="E22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7">
        <v>2</v>
      </c>
      <c r="G227" s="2" t="s">
        <v>26</v>
      </c>
      <c r="H227" s="2" t="s">
        <v>24</v>
      </c>
      <c r="I227" t="s">
        <v>14</v>
      </c>
      <c r="J227">
        <v>0</v>
      </c>
      <c r="K227" t="s">
        <v>15</v>
      </c>
      <c r="L227" s="2" t="s">
        <v>16</v>
      </c>
      <c r="M227" s="4">
        <v>35</v>
      </c>
      <c r="N227" s="4" t="str">
        <f>IF(Bike_Data[[#This Row],[Age]]&gt;=54,"Old",IF(Bike_Data[[#This Row],[Age]]&lt;30,"Young Adult","Middle Age"))</f>
        <v>Middle Age</v>
      </c>
      <c r="O227" s="5">
        <f t="shared" ca="1" si="3"/>
        <v>26448</v>
      </c>
      <c r="P227" s="2" t="s">
        <v>17</v>
      </c>
    </row>
    <row r="228" spans="1:16" x14ac:dyDescent="0.25">
      <c r="A228">
        <v>16200</v>
      </c>
      <c r="B228" s="2" t="s">
        <v>32</v>
      </c>
      <c r="C228" s="2" t="s">
        <v>33</v>
      </c>
      <c r="D228" s="4">
        <v>10000</v>
      </c>
      <c r="E22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8">
        <v>0</v>
      </c>
      <c r="G228" s="2" t="s">
        <v>28</v>
      </c>
      <c r="H228" s="2" t="s">
        <v>24</v>
      </c>
      <c r="I228" t="s">
        <v>17</v>
      </c>
      <c r="J228">
        <v>2</v>
      </c>
      <c r="K228" t="s">
        <v>15</v>
      </c>
      <c r="L228" s="2" t="s">
        <v>16</v>
      </c>
      <c r="M228" s="4">
        <v>35</v>
      </c>
      <c r="N228" s="4" t="str">
        <f>IF(Bike_Data[[#This Row],[Age]]&gt;=54,"Old",IF(Bike_Data[[#This Row],[Age]]&lt;30,"Young Adult","Middle Age"))</f>
        <v>Middle Age</v>
      </c>
      <c r="O228" s="5">
        <f t="shared" ca="1" si="3"/>
        <v>28108</v>
      </c>
      <c r="P228" s="2" t="s">
        <v>17</v>
      </c>
    </row>
    <row r="229" spans="1:16" x14ac:dyDescent="0.25">
      <c r="A229">
        <v>12274</v>
      </c>
      <c r="B229" s="2" t="s">
        <v>32</v>
      </c>
      <c r="C229" s="2" t="s">
        <v>34</v>
      </c>
      <c r="D229" s="4">
        <v>10000</v>
      </c>
      <c r="E22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29">
        <v>2</v>
      </c>
      <c r="G229" s="2" t="s">
        <v>26</v>
      </c>
      <c r="H229" s="2" t="s">
        <v>24</v>
      </c>
      <c r="I229" t="s">
        <v>14</v>
      </c>
      <c r="J229">
        <v>0</v>
      </c>
      <c r="K229" t="s">
        <v>15</v>
      </c>
      <c r="L229" s="2" t="s">
        <v>16</v>
      </c>
      <c r="M229" s="4">
        <v>35</v>
      </c>
      <c r="N229" s="4" t="str">
        <f>IF(Bike_Data[[#This Row],[Age]]&gt;=54,"Old",IF(Bike_Data[[#This Row],[Age]]&lt;30,"Young Adult","Middle Age"))</f>
        <v>Middle Age</v>
      </c>
      <c r="O229" s="5">
        <f t="shared" ca="1" si="3"/>
        <v>34255</v>
      </c>
      <c r="P229" s="2" t="s">
        <v>17</v>
      </c>
    </row>
    <row r="230" spans="1:16" x14ac:dyDescent="0.25">
      <c r="A230">
        <v>17650</v>
      </c>
      <c r="B230" s="2" t="s">
        <v>32</v>
      </c>
      <c r="C230" s="2" t="s">
        <v>33</v>
      </c>
      <c r="D230" s="4">
        <v>40000</v>
      </c>
      <c r="E2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0">
        <v>2</v>
      </c>
      <c r="G230" s="2" t="s">
        <v>18</v>
      </c>
      <c r="H230" s="2" t="s">
        <v>19</v>
      </c>
      <c r="I230" t="s">
        <v>14</v>
      </c>
      <c r="J230">
        <v>2</v>
      </c>
      <c r="K230" t="s">
        <v>25</v>
      </c>
      <c r="L230" s="2" t="s">
        <v>16</v>
      </c>
      <c r="M230" s="4">
        <v>35</v>
      </c>
      <c r="N230" s="4" t="str">
        <f>IF(Bike_Data[[#This Row],[Age]]&gt;=54,"Old",IF(Bike_Data[[#This Row],[Age]]&lt;30,"Young Adult","Middle Age"))</f>
        <v>Middle Age</v>
      </c>
      <c r="O230" s="5">
        <f t="shared" ca="1" si="3"/>
        <v>28015</v>
      </c>
      <c r="P230" s="2" t="s">
        <v>17</v>
      </c>
    </row>
    <row r="231" spans="1:16" x14ac:dyDescent="0.25">
      <c r="A231">
        <v>28683</v>
      </c>
      <c r="B231" s="2" t="s">
        <v>32</v>
      </c>
      <c r="C231" s="2" t="s">
        <v>33</v>
      </c>
      <c r="D231" s="4">
        <v>10000</v>
      </c>
      <c r="E23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1">
        <v>1</v>
      </c>
      <c r="G231" s="2" t="s">
        <v>26</v>
      </c>
      <c r="H231" s="2" t="s">
        <v>24</v>
      </c>
      <c r="I231" t="s">
        <v>17</v>
      </c>
      <c r="J231">
        <v>1</v>
      </c>
      <c r="K231" t="s">
        <v>22</v>
      </c>
      <c r="L231" s="2" t="s">
        <v>16</v>
      </c>
      <c r="M231" s="4">
        <v>35</v>
      </c>
      <c r="N231" s="4" t="str">
        <f>IF(Bike_Data[[#This Row],[Age]]&gt;=54,"Old",IF(Bike_Data[[#This Row],[Age]]&lt;30,"Young Adult","Middle Age"))</f>
        <v>Middle Age</v>
      </c>
      <c r="O231" s="5">
        <f t="shared" ca="1" si="3"/>
        <v>29970</v>
      </c>
      <c r="P231" s="2" t="s">
        <v>14</v>
      </c>
    </row>
    <row r="232" spans="1:16" x14ac:dyDescent="0.25">
      <c r="A232">
        <v>14233</v>
      </c>
      <c r="B232" s="2" t="s">
        <v>32</v>
      </c>
      <c r="C232" s="2" t="s">
        <v>34</v>
      </c>
      <c r="D232" s="4">
        <v>100000</v>
      </c>
      <c r="E23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32">
        <v>0</v>
      </c>
      <c r="G232" s="2" t="s">
        <v>26</v>
      </c>
      <c r="H232" s="2" t="s">
        <v>27</v>
      </c>
      <c r="I232" t="s">
        <v>14</v>
      </c>
      <c r="J232">
        <v>3</v>
      </c>
      <c r="K232" t="s">
        <v>37</v>
      </c>
      <c r="L232" s="2" t="s">
        <v>23</v>
      </c>
      <c r="M232" s="4">
        <v>35</v>
      </c>
      <c r="N232" s="4" t="str">
        <f>IF(Bike_Data[[#This Row],[Age]]&gt;=54,"Old",IF(Bike_Data[[#This Row],[Age]]&lt;30,"Young Adult","Middle Age"))</f>
        <v>Middle Age</v>
      </c>
      <c r="O232" s="5">
        <f t="shared" ca="1" si="3"/>
        <v>32936</v>
      </c>
      <c r="P232" s="2" t="s">
        <v>17</v>
      </c>
    </row>
    <row r="233" spans="1:16" x14ac:dyDescent="0.25">
      <c r="A233">
        <v>25313</v>
      </c>
      <c r="B233" s="2" t="s">
        <v>32</v>
      </c>
      <c r="C233" s="2" t="s">
        <v>34</v>
      </c>
      <c r="D233" s="4">
        <v>10000</v>
      </c>
      <c r="E23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3">
        <v>0</v>
      </c>
      <c r="G233" s="2" t="s">
        <v>28</v>
      </c>
      <c r="H233" s="2" t="s">
        <v>24</v>
      </c>
      <c r="I233" t="s">
        <v>17</v>
      </c>
      <c r="J233">
        <v>2</v>
      </c>
      <c r="K233" t="s">
        <v>25</v>
      </c>
      <c r="L233" s="2" t="s">
        <v>16</v>
      </c>
      <c r="M233" s="4">
        <v>35</v>
      </c>
      <c r="N233" s="4" t="str">
        <f>IF(Bike_Data[[#This Row],[Age]]&gt;=54,"Old",IF(Bike_Data[[#This Row],[Age]]&lt;30,"Young Adult","Middle Age"))</f>
        <v>Middle Age</v>
      </c>
      <c r="O233" s="5">
        <f t="shared" ca="1" si="3"/>
        <v>30195</v>
      </c>
      <c r="P233" s="2" t="s">
        <v>17</v>
      </c>
    </row>
    <row r="234" spans="1:16" x14ac:dyDescent="0.25">
      <c r="A234">
        <v>14135</v>
      </c>
      <c r="B234" s="2" t="s">
        <v>31</v>
      </c>
      <c r="C234" s="2" t="s">
        <v>34</v>
      </c>
      <c r="D234" s="4">
        <v>20000</v>
      </c>
      <c r="E23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4">
        <v>1</v>
      </c>
      <c r="G234" s="2" t="s">
        <v>18</v>
      </c>
      <c r="H234" s="2" t="s">
        <v>24</v>
      </c>
      <c r="I234" t="s">
        <v>14</v>
      </c>
      <c r="J234">
        <v>0</v>
      </c>
      <c r="K234" t="s">
        <v>25</v>
      </c>
      <c r="L234" s="2" t="s">
        <v>16</v>
      </c>
      <c r="M234" s="4">
        <v>35</v>
      </c>
      <c r="N234" s="4" t="str">
        <f>IF(Bike_Data[[#This Row],[Age]]&gt;=54,"Old",IF(Bike_Data[[#This Row],[Age]]&lt;30,"Young Adult","Middle Age"))</f>
        <v>Middle Age</v>
      </c>
      <c r="O234" s="5">
        <f t="shared" ca="1" si="3"/>
        <v>28978</v>
      </c>
      <c r="P234" s="2" t="s">
        <v>17</v>
      </c>
    </row>
    <row r="235" spans="1:16" x14ac:dyDescent="0.25">
      <c r="A235">
        <v>24611</v>
      </c>
      <c r="B235" s="2" t="s">
        <v>32</v>
      </c>
      <c r="C235" s="2" t="s">
        <v>34</v>
      </c>
      <c r="D235" s="4">
        <v>90000</v>
      </c>
      <c r="E23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35">
        <v>0</v>
      </c>
      <c r="G235" s="2" t="s">
        <v>12</v>
      </c>
      <c r="H235" s="2" t="s">
        <v>20</v>
      </c>
      <c r="I235" t="s">
        <v>17</v>
      </c>
      <c r="J235">
        <v>4</v>
      </c>
      <c r="K235" t="s">
        <v>37</v>
      </c>
      <c r="L235" s="2" t="s">
        <v>23</v>
      </c>
      <c r="M235" s="4">
        <v>35</v>
      </c>
      <c r="N235" s="4" t="str">
        <f>IF(Bike_Data[[#This Row],[Age]]&gt;=54,"Old",IF(Bike_Data[[#This Row],[Age]]&lt;30,"Young Adult","Middle Age"))</f>
        <v>Middle Age</v>
      </c>
      <c r="O235" s="5">
        <f t="shared" ca="1" si="3"/>
        <v>30487</v>
      </c>
      <c r="P235" s="2" t="s">
        <v>14</v>
      </c>
    </row>
    <row r="236" spans="1:16" x14ac:dyDescent="0.25">
      <c r="A236">
        <v>20625</v>
      </c>
      <c r="B236" s="2" t="s">
        <v>31</v>
      </c>
      <c r="C236" s="2" t="s">
        <v>34</v>
      </c>
      <c r="D236" s="4">
        <v>100000</v>
      </c>
      <c r="E23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36">
        <v>0</v>
      </c>
      <c r="G236" s="2" t="s">
        <v>26</v>
      </c>
      <c r="H236" s="2" t="s">
        <v>27</v>
      </c>
      <c r="I236" t="s">
        <v>14</v>
      </c>
      <c r="J236">
        <v>3</v>
      </c>
      <c r="K236" t="s">
        <v>37</v>
      </c>
      <c r="L236" s="2" t="s">
        <v>23</v>
      </c>
      <c r="M236" s="4">
        <v>35</v>
      </c>
      <c r="N236" s="4" t="str">
        <f>IF(Bike_Data[[#This Row],[Age]]&gt;=54,"Old",IF(Bike_Data[[#This Row],[Age]]&lt;30,"Young Adult","Middle Age"))</f>
        <v>Middle Age</v>
      </c>
      <c r="O236" s="5">
        <f t="shared" ca="1" si="3"/>
        <v>37585</v>
      </c>
      <c r="P236" s="2" t="s">
        <v>14</v>
      </c>
    </row>
    <row r="237" spans="1:16" x14ac:dyDescent="0.25">
      <c r="A237">
        <v>28758</v>
      </c>
      <c r="B237" s="2" t="s">
        <v>31</v>
      </c>
      <c r="C237" s="2" t="s">
        <v>34</v>
      </c>
      <c r="D237" s="4">
        <v>40000</v>
      </c>
      <c r="E23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7">
        <v>2</v>
      </c>
      <c r="G237" s="2" t="s">
        <v>18</v>
      </c>
      <c r="H237" s="2" t="s">
        <v>19</v>
      </c>
      <c r="I237" t="s">
        <v>14</v>
      </c>
      <c r="J237">
        <v>1</v>
      </c>
      <c r="K237" t="s">
        <v>25</v>
      </c>
      <c r="L237" s="2" t="s">
        <v>16</v>
      </c>
      <c r="M237" s="4">
        <v>35</v>
      </c>
      <c r="N237" s="4" t="str">
        <f>IF(Bike_Data[[#This Row],[Age]]&gt;=54,"Old",IF(Bike_Data[[#This Row],[Age]]&lt;30,"Young Adult","Middle Age"))</f>
        <v>Middle Age</v>
      </c>
      <c r="O237" s="5">
        <f t="shared" ca="1" si="3"/>
        <v>32759</v>
      </c>
      <c r="P237" s="2" t="s">
        <v>14</v>
      </c>
    </row>
    <row r="238" spans="1:16" x14ac:dyDescent="0.25">
      <c r="A238">
        <v>14154</v>
      </c>
      <c r="B238" s="2" t="s">
        <v>31</v>
      </c>
      <c r="C238" s="2" t="s">
        <v>34</v>
      </c>
      <c r="D238" s="4">
        <v>30000</v>
      </c>
      <c r="E23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8">
        <v>0</v>
      </c>
      <c r="G238" s="2" t="s">
        <v>12</v>
      </c>
      <c r="H238" s="2" t="s">
        <v>19</v>
      </c>
      <c r="I238" t="s">
        <v>14</v>
      </c>
      <c r="J238">
        <v>0</v>
      </c>
      <c r="K238" t="s">
        <v>15</v>
      </c>
      <c r="L238" s="2" t="s">
        <v>16</v>
      </c>
      <c r="M238" s="4">
        <v>35</v>
      </c>
      <c r="N238" s="4" t="str">
        <f>IF(Bike_Data[[#This Row],[Age]]&gt;=54,"Old",IF(Bike_Data[[#This Row],[Age]]&lt;30,"Young Adult","Middle Age"))</f>
        <v>Middle Age</v>
      </c>
      <c r="O238" s="5">
        <f t="shared" ca="1" si="3"/>
        <v>33198</v>
      </c>
      <c r="P238" s="2" t="s">
        <v>14</v>
      </c>
    </row>
    <row r="239" spans="1:16" x14ac:dyDescent="0.25">
      <c r="A239">
        <v>11489</v>
      </c>
      <c r="B239" s="2" t="s">
        <v>32</v>
      </c>
      <c r="C239" s="2" t="s">
        <v>33</v>
      </c>
      <c r="D239" s="4">
        <v>20000</v>
      </c>
      <c r="E23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39">
        <v>0</v>
      </c>
      <c r="G239" s="2" t="s">
        <v>28</v>
      </c>
      <c r="H239" s="2" t="s">
        <v>24</v>
      </c>
      <c r="I239" t="s">
        <v>17</v>
      </c>
      <c r="J239">
        <v>2</v>
      </c>
      <c r="K239" t="s">
        <v>25</v>
      </c>
      <c r="L239" s="2" t="s">
        <v>16</v>
      </c>
      <c r="M239" s="4">
        <v>35</v>
      </c>
      <c r="N239" s="4" t="str">
        <f>IF(Bike_Data[[#This Row],[Age]]&gt;=54,"Old",IF(Bike_Data[[#This Row],[Age]]&lt;30,"Young Adult","Middle Age"))</f>
        <v>Middle Age</v>
      </c>
      <c r="O239" s="5">
        <f t="shared" ca="1" si="3"/>
        <v>34380</v>
      </c>
      <c r="P239" s="2" t="s">
        <v>14</v>
      </c>
    </row>
    <row r="240" spans="1:16" x14ac:dyDescent="0.25">
      <c r="A240">
        <v>19183</v>
      </c>
      <c r="B240" s="2" t="s">
        <v>32</v>
      </c>
      <c r="C240" s="2" t="s">
        <v>34</v>
      </c>
      <c r="D240" s="4">
        <v>10000</v>
      </c>
      <c r="E24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40">
        <v>0</v>
      </c>
      <c r="G240" s="2" t="s">
        <v>28</v>
      </c>
      <c r="H240" s="2" t="s">
        <v>24</v>
      </c>
      <c r="I240" t="s">
        <v>14</v>
      </c>
      <c r="J240">
        <v>2</v>
      </c>
      <c r="K240" t="s">
        <v>25</v>
      </c>
      <c r="L240" s="2" t="s">
        <v>16</v>
      </c>
      <c r="M240" s="4">
        <v>35</v>
      </c>
      <c r="N240" s="4" t="str">
        <f>IF(Bike_Data[[#This Row],[Age]]&gt;=54,"Old",IF(Bike_Data[[#This Row],[Age]]&lt;30,"Young Adult","Middle Age"))</f>
        <v>Middle Age</v>
      </c>
      <c r="O240" s="5">
        <f t="shared" ca="1" si="3"/>
        <v>37610</v>
      </c>
      <c r="P240" s="2" t="s">
        <v>17</v>
      </c>
    </row>
    <row r="241" spans="1:16" x14ac:dyDescent="0.25">
      <c r="A241">
        <v>17960</v>
      </c>
      <c r="B241" s="2" t="s">
        <v>31</v>
      </c>
      <c r="C241" s="2" t="s">
        <v>33</v>
      </c>
      <c r="D241" s="4">
        <v>40000</v>
      </c>
      <c r="E24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41">
        <v>0</v>
      </c>
      <c r="G241" s="2" t="s">
        <v>29</v>
      </c>
      <c r="H241" s="2" t="s">
        <v>19</v>
      </c>
      <c r="I241" t="s">
        <v>14</v>
      </c>
      <c r="J241">
        <v>0</v>
      </c>
      <c r="K241" t="s">
        <v>15</v>
      </c>
      <c r="L241" s="2" t="s">
        <v>16</v>
      </c>
      <c r="M241" s="4">
        <v>35</v>
      </c>
      <c r="N241" s="4" t="str">
        <f>IF(Bike_Data[[#This Row],[Age]]&gt;=54,"Old",IF(Bike_Data[[#This Row],[Age]]&lt;30,"Young Adult","Middle Age"))</f>
        <v>Middle Age</v>
      </c>
      <c r="O241" s="5">
        <f t="shared" ca="1" si="3"/>
        <v>36047</v>
      </c>
      <c r="P241" s="2" t="s">
        <v>14</v>
      </c>
    </row>
    <row r="242" spans="1:16" x14ac:dyDescent="0.25">
      <c r="A242">
        <v>22610</v>
      </c>
      <c r="B242" s="2" t="s">
        <v>31</v>
      </c>
      <c r="C242" s="2" t="s">
        <v>34</v>
      </c>
      <c r="D242" s="4">
        <v>30000</v>
      </c>
      <c r="E24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42">
        <v>0</v>
      </c>
      <c r="G242" s="2" t="s">
        <v>12</v>
      </c>
      <c r="H242" s="2" t="s">
        <v>19</v>
      </c>
      <c r="I242" t="s">
        <v>14</v>
      </c>
      <c r="J242">
        <v>0</v>
      </c>
      <c r="K242" t="s">
        <v>15</v>
      </c>
      <c r="L242" s="2" t="s">
        <v>16</v>
      </c>
      <c r="M242" s="4">
        <v>35</v>
      </c>
      <c r="N242" s="4" t="str">
        <f>IF(Bike_Data[[#This Row],[Age]]&gt;=54,"Old",IF(Bike_Data[[#This Row],[Age]]&lt;30,"Young Adult","Middle Age"))</f>
        <v>Middle Age</v>
      </c>
      <c r="O242" s="5">
        <f t="shared" ca="1" si="3"/>
        <v>33702</v>
      </c>
      <c r="P242" s="2" t="s">
        <v>14</v>
      </c>
    </row>
    <row r="243" spans="1:16" x14ac:dyDescent="0.25">
      <c r="A243">
        <v>23158</v>
      </c>
      <c r="B243" s="2" t="s">
        <v>31</v>
      </c>
      <c r="C243" s="2" t="s">
        <v>33</v>
      </c>
      <c r="D243" s="4">
        <v>60000</v>
      </c>
      <c r="E24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43">
        <v>1</v>
      </c>
      <c r="G243" s="2" t="s">
        <v>29</v>
      </c>
      <c r="H243" s="2" t="s">
        <v>20</v>
      </c>
      <c r="I243" t="s">
        <v>17</v>
      </c>
      <c r="J243">
        <v>0</v>
      </c>
      <c r="K243" t="s">
        <v>15</v>
      </c>
      <c r="L243" s="2" t="s">
        <v>30</v>
      </c>
      <c r="M243" s="4">
        <v>35</v>
      </c>
      <c r="N243" s="4" t="str">
        <f>IF(Bike_Data[[#This Row],[Age]]&gt;=54,"Old",IF(Bike_Data[[#This Row],[Age]]&lt;30,"Young Adult","Middle Age"))</f>
        <v>Middle Age</v>
      </c>
      <c r="O243" s="5">
        <f t="shared" ca="1" si="3"/>
        <v>34067</v>
      </c>
      <c r="P243" s="2" t="s">
        <v>14</v>
      </c>
    </row>
    <row r="244" spans="1:16" x14ac:dyDescent="0.25">
      <c r="A244">
        <v>20000</v>
      </c>
      <c r="B244" s="2" t="s">
        <v>31</v>
      </c>
      <c r="C244" s="2" t="s">
        <v>34</v>
      </c>
      <c r="D244" s="4">
        <v>60000</v>
      </c>
      <c r="E24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44">
        <v>1</v>
      </c>
      <c r="G244" s="2" t="s">
        <v>29</v>
      </c>
      <c r="H244" s="2" t="s">
        <v>20</v>
      </c>
      <c r="I244" t="s">
        <v>14</v>
      </c>
      <c r="J244">
        <v>0</v>
      </c>
      <c r="K244" t="s">
        <v>15</v>
      </c>
      <c r="L244" s="2" t="s">
        <v>30</v>
      </c>
      <c r="M244" s="4">
        <v>35</v>
      </c>
      <c r="N244" s="4" t="str">
        <f>IF(Bike_Data[[#This Row],[Age]]&gt;=54,"Old",IF(Bike_Data[[#This Row],[Age]]&lt;30,"Young Adult","Middle Age"))</f>
        <v>Middle Age</v>
      </c>
      <c r="O244" s="5">
        <f t="shared" ca="1" si="3"/>
        <v>34319</v>
      </c>
      <c r="P244" s="2" t="s">
        <v>14</v>
      </c>
    </row>
    <row r="245" spans="1:16" x14ac:dyDescent="0.25">
      <c r="A245">
        <v>28815</v>
      </c>
      <c r="B245" s="2" t="s">
        <v>31</v>
      </c>
      <c r="C245" s="2" t="s">
        <v>33</v>
      </c>
      <c r="D245" s="4">
        <v>50000</v>
      </c>
      <c r="E24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45">
        <v>1</v>
      </c>
      <c r="G245" s="2" t="s">
        <v>29</v>
      </c>
      <c r="H245" s="2" t="s">
        <v>13</v>
      </c>
      <c r="I245" t="s">
        <v>14</v>
      </c>
      <c r="J245">
        <v>0</v>
      </c>
      <c r="K245" t="s">
        <v>15</v>
      </c>
      <c r="L245" s="2" t="s">
        <v>30</v>
      </c>
      <c r="M245" s="4">
        <v>35</v>
      </c>
      <c r="N245" s="4" t="str">
        <f>IF(Bike_Data[[#This Row],[Age]]&gt;=54,"Old",IF(Bike_Data[[#This Row],[Age]]&lt;30,"Young Adult","Middle Age"))</f>
        <v>Middle Age</v>
      </c>
      <c r="O245" s="5">
        <f t="shared" ca="1" si="3"/>
        <v>35871</v>
      </c>
      <c r="P245" s="2" t="s">
        <v>17</v>
      </c>
    </row>
    <row r="246" spans="1:16" x14ac:dyDescent="0.25">
      <c r="A246">
        <v>14572</v>
      </c>
      <c r="B246" s="2" t="s">
        <v>31</v>
      </c>
      <c r="C246" s="2" t="s">
        <v>33</v>
      </c>
      <c r="D246" s="4">
        <v>70000</v>
      </c>
      <c r="E24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46">
        <v>3</v>
      </c>
      <c r="G246" s="2" t="s">
        <v>29</v>
      </c>
      <c r="H246" s="2" t="s">
        <v>20</v>
      </c>
      <c r="I246" t="s">
        <v>14</v>
      </c>
      <c r="J246">
        <v>0</v>
      </c>
      <c r="K246" t="s">
        <v>21</v>
      </c>
      <c r="L246" s="2" t="s">
        <v>30</v>
      </c>
      <c r="M246" s="4">
        <v>35</v>
      </c>
      <c r="N246" s="4" t="str">
        <f>IF(Bike_Data[[#This Row],[Age]]&gt;=54,"Old",IF(Bike_Data[[#This Row],[Age]]&lt;30,"Young Adult","Middle Age"))</f>
        <v>Middle Age</v>
      </c>
      <c r="O246" s="5">
        <f t="shared" ca="1" si="3"/>
        <v>30130</v>
      </c>
      <c r="P246" s="2" t="s">
        <v>14</v>
      </c>
    </row>
    <row r="247" spans="1:16" x14ac:dyDescent="0.25">
      <c r="A247">
        <v>11817</v>
      </c>
      <c r="B247" s="2" t="s">
        <v>32</v>
      </c>
      <c r="C247" s="2" t="s">
        <v>33</v>
      </c>
      <c r="D247" s="4">
        <v>70000</v>
      </c>
      <c r="E24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47">
        <v>4</v>
      </c>
      <c r="G247" s="2" t="s">
        <v>29</v>
      </c>
      <c r="H247" s="2" t="s">
        <v>20</v>
      </c>
      <c r="I247" t="s">
        <v>14</v>
      </c>
      <c r="J247">
        <v>0</v>
      </c>
      <c r="K247" t="s">
        <v>21</v>
      </c>
      <c r="L247" s="2" t="s">
        <v>30</v>
      </c>
      <c r="M247" s="4">
        <v>35</v>
      </c>
      <c r="N247" s="4" t="str">
        <f>IF(Bike_Data[[#This Row],[Age]]&gt;=54,"Old",IF(Bike_Data[[#This Row],[Age]]&lt;30,"Young Adult","Middle Age"))</f>
        <v>Middle Age</v>
      </c>
      <c r="O247" s="5">
        <f t="shared" ca="1" si="3"/>
        <v>25996</v>
      </c>
      <c r="P247" s="2" t="s">
        <v>14</v>
      </c>
    </row>
    <row r="248" spans="1:16" x14ac:dyDescent="0.25">
      <c r="A248">
        <v>15468</v>
      </c>
      <c r="B248" s="2" t="s">
        <v>31</v>
      </c>
      <c r="C248" s="2" t="s">
        <v>33</v>
      </c>
      <c r="D248" s="4">
        <v>50000</v>
      </c>
      <c r="E24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48">
        <v>1</v>
      </c>
      <c r="G248" s="2" t="s">
        <v>12</v>
      </c>
      <c r="H248" s="2" t="s">
        <v>13</v>
      </c>
      <c r="I248" t="s">
        <v>14</v>
      </c>
      <c r="J248">
        <v>1</v>
      </c>
      <c r="K248" t="s">
        <v>15</v>
      </c>
      <c r="L248" s="2" t="s">
        <v>30</v>
      </c>
      <c r="M248" s="4">
        <v>35</v>
      </c>
      <c r="N248" s="4" t="str">
        <f>IF(Bike_Data[[#This Row],[Age]]&gt;=54,"Old",IF(Bike_Data[[#This Row],[Age]]&lt;30,"Young Adult","Middle Age"))</f>
        <v>Middle Age</v>
      </c>
      <c r="O248" s="5">
        <f t="shared" ca="1" si="3"/>
        <v>27553</v>
      </c>
      <c r="P248" s="2" t="s">
        <v>17</v>
      </c>
    </row>
    <row r="249" spans="1:16" x14ac:dyDescent="0.25">
      <c r="A249">
        <v>24801</v>
      </c>
      <c r="B249" s="2" t="s">
        <v>32</v>
      </c>
      <c r="C249" s="2" t="s">
        <v>34</v>
      </c>
      <c r="D249" s="4">
        <v>60000</v>
      </c>
      <c r="E24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49">
        <v>1</v>
      </c>
      <c r="G249" s="2" t="s">
        <v>29</v>
      </c>
      <c r="H249" s="2" t="s">
        <v>20</v>
      </c>
      <c r="I249" t="s">
        <v>14</v>
      </c>
      <c r="J249">
        <v>0</v>
      </c>
      <c r="K249" t="s">
        <v>21</v>
      </c>
      <c r="L249" s="2" t="s">
        <v>30</v>
      </c>
      <c r="M249" s="4">
        <v>35</v>
      </c>
      <c r="N249" s="4" t="str">
        <f>IF(Bike_Data[[#This Row],[Age]]&gt;=54,"Old",IF(Bike_Data[[#This Row],[Age]]&lt;30,"Young Adult","Middle Age"))</f>
        <v>Middle Age</v>
      </c>
      <c r="O249" s="5">
        <f t="shared" ca="1" si="3"/>
        <v>36724</v>
      </c>
      <c r="P249" s="2" t="s">
        <v>14</v>
      </c>
    </row>
    <row r="250" spans="1:16" x14ac:dyDescent="0.25">
      <c r="A250">
        <v>27074</v>
      </c>
      <c r="B250" s="2" t="s">
        <v>31</v>
      </c>
      <c r="C250" s="2" t="s">
        <v>33</v>
      </c>
      <c r="D250" s="4">
        <v>70000</v>
      </c>
      <c r="E25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0">
        <v>1</v>
      </c>
      <c r="G250" s="2" t="s">
        <v>29</v>
      </c>
      <c r="H250" s="2" t="s">
        <v>13</v>
      </c>
      <c r="I250" t="s">
        <v>14</v>
      </c>
      <c r="J250">
        <v>0</v>
      </c>
      <c r="K250" t="s">
        <v>15</v>
      </c>
      <c r="L250" s="2" t="s">
        <v>30</v>
      </c>
      <c r="M250" s="4">
        <v>35</v>
      </c>
      <c r="N250" s="4" t="str">
        <f>IF(Bike_Data[[#This Row],[Age]]&gt;=54,"Old",IF(Bike_Data[[#This Row],[Age]]&lt;30,"Young Adult","Middle Age"))</f>
        <v>Middle Age</v>
      </c>
      <c r="O250" s="5">
        <f t="shared" ca="1" si="3"/>
        <v>26612</v>
      </c>
      <c r="P250" s="2" t="s">
        <v>14</v>
      </c>
    </row>
    <row r="251" spans="1:16" x14ac:dyDescent="0.25">
      <c r="A251">
        <v>14569</v>
      </c>
      <c r="B251" s="2" t="s">
        <v>31</v>
      </c>
      <c r="C251" s="2" t="s">
        <v>34</v>
      </c>
      <c r="D251" s="4">
        <v>60000</v>
      </c>
      <c r="E25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1">
        <v>1</v>
      </c>
      <c r="G251" s="2" t="s">
        <v>29</v>
      </c>
      <c r="H251" s="2" t="s">
        <v>20</v>
      </c>
      <c r="I251" t="s">
        <v>14</v>
      </c>
      <c r="J251">
        <v>0</v>
      </c>
      <c r="K251" t="s">
        <v>15</v>
      </c>
      <c r="L251" s="2" t="s">
        <v>30</v>
      </c>
      <c r="M251" s="4">
        <v>35</v>
      </c>
      <c r="N251" s="4" t="str">
        <f>IF(Bike_Data[[#This Row],[Age]]&gt;=54,"Old",IF(Bike_Data[[#This Row],[Age]]&lt;30,"Young Adult","Middle Age"))</f>
        <v>Middle Age</v>
      </c>
      <c r="O251" s="5">
        <f t="shared" ca="1" si="3"/>
        <v>33689</v>
      </c>
      <c r="P251" s="2" t="s">
        <v>17</v>
      </c>
    </row>
    <row r="252" spans="1:16" x14ac:dyDescent="0.25">
      <c r="A252">
        <v>13873</v>
      </c>
      <c r="B252" s="2" t="s">
        <v>31</v>
      </c>
      <c r="C252" s="2" t="s">
        <v>34</v>
      </c>
      <c r="D252" s="4">
        <v>70000</v>
      </c>
      <c r="E25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2">
        <v>3</v>
      </c>
      <c r="G252" s="2" t="s">
        <v>29</v>
      </c>
      <c r="H252" s="2" t="s">
        <v>20</v>
      </c>
      <c r="I252" t="s">
        <v>14</v>
      </c>
      <c r="J252">
        <v>0</v>
      </c>
      <c r="K252" t="s">
        <v>15</v>
      </c>
      <c r="L252" s="2" t="s">
        <v>30</v>
      </c>
      <c r="M252" s="4">
        <v>35</v>
      </c>
      <c r="N252" s="4" t="str">
        <f>IF(Bike_Data[[#This Row],[Age]]&gt;=54,"Old",IF(Bike_Data[[#This Row],[Age]]&lt;30,"Young Adult","Middle Age"))</f>
        <v>Middle Age</v>
      </c>
      <c r="O252" s="5">
        <f t="shared" ca="1" si="3"/>
        <v>30821</v>
      </c>
      <c r="P252" s="2" t="s">
        <v>14</v>
      </c>
    </row>
    <row r="253" spans="1:16" x14ac:dyDescent="0.25">
      <c r="A253">
        <v>27273</v>
      </c>
      <c r="B253" s="2" t="s">
        <v>32</v>
      </c>
      <c r="C253" s="2" t="s">
        <v>34</v>
      </c>
      <c r="D253" s="4">
        <v>70000</v>
      </c>
      <c r="E25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3">
        <v>3</v>
      </c>
      <c r="G253" s="2" t="s">
        <v>29</v>
      </c>
      <c r="H253" s="2" t="s">
        <v>20</v>
      </c>
      <c r="I253" t="s">
        <v>17</v>
      </c>
      <c r="J253">
        <v>0</v>
      </c>
      <c r="K253" t="s">
        <v>15</v>
      </c>
      <c r="L253" s="2" t="s">
        <v>30</v>
      </c>
      <c r="M253" s="4">
        <v>35</v>
      </c>
      <c r="N253" s="4" t="str">
        <f>IF(Bike_Data[[#This Row],[Age]]&gt;=54,"Old",IF(Bike_Data[[#This Row],[Age]]&lt;30,"Young Adult","Middle Age"))</f>
        <v>Middle Age</v>
      </c>
      <c r="O253" s="5">
        <f t="shared" ca="1" si="3"/>
        <v>28376</v>
      </c>
      <c r="P253" s="2" t="s">
        <v>14</v>
      </c>
    </row>
    <row r="254" spans="1:16" x14ac:dyDescent="0.25">
      <c r="A254">
        <v>15292</v>
      </c>
      <c r="B254" s="2" t="s">
        <v>32</v>
      </c>
      <c r="C254" s="2" t="s">
        <v>33</v>
      </c>
      <c r="D254" s="4">
        <v>60000</v>
      </c>
      <c r="E25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4">
        <v>1</v>
      </c>
      <c r="G254" s="2" t="s">
        <v>29</v>
      </c>
      <c r="H254" s="2" t="s">
        <v>13</v>
      </c>
      <c r="I254" t="s">
        <v>14</v>
      </c>
      <c r="J254">
        <v>0</v>
      </c>
      <c r="K254" t="s">
        <v>25</v>
      </c>
      <c r="L254" s="2" t="s">
        <v>30</v>
      </c>
      <c r="M254" s="4">
        <v>35</v>
      </c>
      <c r="N254" s="4" t="str">
        <f>IF(Bike_Data[[#This Row],[Age]]&gt;=54,"Old",IF(Bike_Data[[#This Row],[Age]]&lt;30,"Young Adult","Middle Age"))</f>
        <v>Middle Age</v>
      </c>
      <c r="O254" s="5">
        <f t="shared" ca="1" si="3"/>
        <v>28519</v>
      </c>
      <c r="P254" s="2" t="s">
        <v>17</v>
      </c>
    </row>
    <row r="255" spans="1:16" x14ac:dyDescent="0.25">
      <c r="A255">
        <v>13886</v>
      </c>
      <c r="B255" s="2" t="s">
        <v>31</v>
      </c>
      <c r="C255" s="2" t="s">
        <v>33</v>
      </c>
      <c r="D255" s="4">
        <v>70000</v>
      </c>
      <c r="E25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5">
        <v>4</v>
      </c>
      <c r="G255" s="2" t="s">
        <v>29</v>
      </c>
      <c r="H255" s="2" t="s">
        <v>20</v>
      </c>
      <c r="I255" t="s">
        <v>14</v>
      </c>
      <c r="J255">
        <v>0</v>
      </c>
      <c r="K255" t="s">
        <v>21</v>
      </c>
      <c r="L255" s="2" t="s">
        <v>30</v>
      </c>
      <c r="M255" s="4">
        <v>35</v>
      </c>
      <c r="N255" s="4" t="str">
        <f>IF(Bike_Data[[#This Row],[Age]]&gt;=54,"Old",IF(Bike_Data[[#This Row],[Age]]&lt;30,"Young Adult","Middle Age"))</f>
        <v>Middle Age</v>
      </c>
      <c r="O255" s="5">
        <f t="shared" ca="1" si="3"/>
        <v>31899</v>
      </c>
      <c r="P255" s="2" t="s">
        <v>14</v>
      </c>
    </row>
    <row r="256" spans="1:16" x14ac:dyDescent="0.25">
      <c r="A256">
        <v>20659</v>
      </c>
      <c r="B256" s="2" t="s">
        <v>31</v>
      </c>
      <c r="C256" s="2" t="s">
        <v>34</v>
      </c>
      <c r="D256" s="4">
        <v>70000</v>
      </c>
      <c r="E25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6">
        <v>3</v>
      </c>
      <c r="G256" s="2" t="s">
        <v>29</v>
      </c>
      <c r="H256" s="2" t="s">
        <v>20</v>
      </c>
      <c r="I256" t="s">
        <v>14</v>
      </c>
      <c r="J256">
        <v>0</v>
      </c>
      <c r="K256" t="s">
        <v>15</v>
      </c>
      <c r="L256" s="2" t="s">
        <v>30</v>
      </c>
      <c r="M256" s="4">
        <v>35</v>
      </c>
      <c r="N256" s="4" t="str">
        <f>IF(Bike_Data[[#This Row],[Age]]&gt;=54,"Old",IF(Bike_Data[[#This Row],[Age]]&lt;30,"Young Adult","Middle Age"))</f>
        <v>Middle Age</v>
      </c>
      <c r="O256" s="5">
        <f t="shared" ca="1" si="3"/>
        <v>32821</v>
      </c>
      <c r="P256" s="2" t="s">
        <v>14</v>
      </c>
    </row>
    <row r="257" spans="1:16" x14ac:dyDescent="0.25">
      <c r="A257">
        <v>28672</v>
      </c>
      <c r="B257" s="2" t="s">
        <v>32</v>
      </c>
      <c r="C257" s="2" t="s">
        <v>34</v>
      </c>
      <c r="D257" s="4">
        <v>70000</v>
      </c>
      <c r="E25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7">
        <v>4</v>
      </c>
      <c r="G257" s="2" t="s">
        <v>29</v>
      </c>
      <c r="H257" s="2" t="s">
        <v>20</v>
      </c>
      <c r="I257" t="s">
        <v>14</v>
      </c>
      <c r="J257">
        <v>0</v>
      </c>
      <c r="K257" t="s">
        <v>21</v>
      </c>
      <c r="L257" s="2" t="s">
        <v>30</v>
      </c>
      <c r="M257" s="4">
        <v>35</v>
      </c>
      <c r="N257" s="4" t="str">
        <f>IF(Bike_Data[[#This Row],[Age]]&gt;=54,"Old",IF(Bike_Data[[#This Row],[Age]]&lt;30,"Young Adult","Middle Age"))</f>
        <v>Middle Age</v>
      </c>
      <c r="O257" s="5">
        <f t="shared" ca="1" si="3"/>
        <v>31422</v>
      </c>
      <c r="P257" s="2" t="s">
        <v>14</v>
      </c>
    </row>
    <row r="258" spans="1:16" x14ac:dyDescent="0.25">
      <c r="A258">
        <v>25597</v>
      </c>
      <c r="B258" s="2" t="s">
        <v>32</v>
      </c>
      <c r="C258" s="2" t="s">
        <v>34</v>
      </c>
      <c r="D258" s="4">
        <v>30000</v>
      </c>
      <c r="E25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58">
        <v>0</v>
      </c>
      <c r="G258" s="2" t="s">
        <v>12</v>
      </c>
      <c r="H258" s="2" t="s">
        <v>19</v>
      </c>
      <c r="I258" t="s">
        <v>17</v>
      </c>
      <c r="J258">
        <v>0</v>
      </c>
      <c r="K258" t="s">
        <v>15</v>
      </c>
      <c r="L258" s="2" t="s">
        <v>16</v>
      </c>
      <c r="M258" s="4">
        <v>36</v>
      </c>
      <c r="N258" s="4" t="str">
        <f>IF(Bike_Data[[#This Row],[Age]]&gt;=54,"Old",IF(Bike_Data[[#This Row],[Age]]&lt;30,"Young Adult","Middle Age"))</f>
        <v>Middle Age</v>
      </c>
      <c r="O258" s="5">
        <f t="shared" ca="1" si="3"/>
        <v>30875</v>
      </c>
      <c r="P258" s="2" t="s">
        <v>14</v>
      </c>
    </row>
    <row r="259" spans="1:16" x14ac:dyDescent="0.25">
      <c r="A259">
        <v>12697</v>
      </c>
      <c r="B259" s="2" t="s">
        <v>32</v>
      </c>
      <c r="C259" s="2" t="s">
        <v>33</v>
      </c>
      <c r="D259" s="4">
        <v>90000</v>
      </c>
      <c r="E25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59">
        <v>0</v>
      </c>
      <c r="G259" s="2" t="s">
        <v>12</v>
      </c>
      <c r="H259" s="2" t="s">
        <v>20</v>
      </c>
      <c r="I259" t="s">
        <v>17</v>
      </c>
      <c r="J259">
        <v>4</v>
      </c>
      <c r="K259" t="s">
        <v>37</v>
      </c>
      <c r="L259" s="2" t="s">
        <v>23</v>
      </c>
      <c r="M259" s="4">
        <v>36</v>
      </c>
      <c r="N259" s="4" t="str">
        <f>IF(Bike_Data[[#This Row],[Age]]&gt;=54,"Old",IF(Bike_Data[[#This Row],[Age]]&lt;30,"Young Adult","Middle Age"))</f>
        <v>Middle Age</v>
      </c>
      <c r="O259" s="5">
        <f t="shared" ref="O259:O322" ca="1" si="4">RANDBETWEEN(DATE(1971,1,1), DATE(2003,12,31))</f>
        <v>29402</v>
      </c>
      <c r="P259" s="2" t="s">
        <v>17</v>
      </c>
    </row>
    <row r="260" spans="1:16" x14ac:dyDescent="0.25">
      <c r="A260">
        <v>25598</v>
      </c>
      <c r="B260" s="2" t="s">
        <v>31</v>
      </c>
      <c r="C260" s="2" t="s">
        <v>33</v>
      </c>
      <c r="D260" s="4">
        <v>40000</v>
      </c>
      <c r="E26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0">
        <v>0</v>
      </c>
      <c r="G260" s="2" t="s">
        <v>29</v>
      </c>
      <c r="H260" s="2" t="s">
        <v>19</v>
      </c>
      <c r="I260" t="s">
        <v>14</v>
      </c>
      <c r="J260">
        <v>0</v>
      </c>
      <c r="K260" t="s">
        <v>15</v>
      </c>
      <c r="L260" s="2" t="s">
        <v>16</v>
      </c>
      <c r="M260" s="4">
        <v>36</v>
      </c>
      <c r="N260" s="4" t="str">
        <f>IF(Bike_Data[[#This Row],[Age]]&gt;=54,"Old",IF(Bike_Data[[#This Row],[Age]]&lt;30,"Young Adult","Middle Age"))</f>
        <v>Middle Age</v>
      </c>
      <c r="O260" s="5">
        <f t="shared" ca="1" si="4"/>
        <v>32394</v>
      </c>
      <c r="P260" s="2" t="s">
        <v>14</v>
      </c>
    </row>
    <row r="261" spans="1:16" x14ac:dyDescent="0.25">
      <c r="A261">
        <v>14238</v>
      </c>
      <c r="B261" s="2" t="s">
        <v>31</v>
      </c>
      <c r="C261" s="2" t="s">
        <v>34</v>
      </c>
      <c r="D261" s="4">
        <v>120000</v>
      </c>
      <c r="E26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261">
        <v>0</v>
      </c>
      <c r="G261" s="2" t="s">
        <v>28</v>
      </c>
      <c r="H261" s="2" t="s">
        <v>20</v>
      </c>
      <c r="I261" t="s">
        <v>14</v>
      </c>
      <c r="J261">
        <v>4</v>
      </c>
      <c r="K261" t="s">
        <v>37</v>
      </c>
      <c r="L261" s="2" t="s">
        <v>23</v>
      </c>
      <c r="M261" s="4">
        <v>36</v>
      </c>
      <c r="N261" s="4" t="str">
        <f>IF(Bike_Data[[#This Row],[Age]]&gt;=54,"Old",IF(Bike_Data[[#This Row],[Age]]&lt;30,"Young Adult","Middle Age"))</f>
        <v>Middle Age</v>
      </c>
      <c r="O261" s="5">
        <f t="shared" ca="1" si="4"/>
        <v>37662</v>
      </c>
      <c r="P261" s="2" t="s">
        <v>14</v>
      </c>
    </row>
    <row r="262" spans="1:16" x14ac:dyDescent="0.25">
      <c r="A262">
        <v>26956</v>
      </c>
      <c r="B262" s="2" t="s">
        <v>32</v>
      </c>
      <c r="C262" s="2" t="s">
        <v>33</v>
      </c>
      <c r="D262" s="4">
        <v>20000</v>
      </c>
      <c r="E26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2">
        <v>0</v>
      </c>
      <c r="G262" s="2" t="s">
        <v>18</v>
      </c>
      <c r="H262" s="2" t="s">
        <v>24</v>
      </c>
      <c r="I262" t="s">
        <v>17</v>
      </c>
      <c r="J262">
        <v>1</v>
      </c>
      <c r="K262" t="s">
        <v>21</v>
      </c>
      <c r="L262" s="2" t="s">
        <v>16</v>
      </c>
      <c r="M262" s="4">
        <v>36</v>
      </c>
      <c r="N262" s="4" t="str">
        <f>IF(Bike_Data[[#This Row],[Age]]&gt;=54,"Old",IF(Bike_Data[[#This Row],[Age]]&lt;30,"Young Adult","Middle Age"))</f>
        <v>Middle Age</v>
      </c>
      <c r="O262" s="5">
        <f t="shared" ca="1" si="4"/>
        <v>35308</v>
      </c>
      <c r="P262" s="2" t="s">
        <v>14</v>
      </c>
    </row>
    <row r="263" spans="1:16" x14ac:dyDescent="0.25">
      <c r="A263">
        <v>29191</v>
      </c>
      <c r="B263" s="2" t="s">
        <v>32</v>
      </c>
      <c r="C263" s="2" t="s">
        <v>33</v>
      </c>
      <c r="D263" s="4">
        <v>130000</v>
      </c>
      <c r="E26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263">
        <v>1</v>
      </c>
      <c r="G263" s="2" t="s">
        <v>29</v>
      </c>
      <c r="H263" s="2" t="s">
        <v>27</v>
      </c>
      <c r="I263" t="s">
        <v>17</v>
      </c>
      <c r="J263">
        <v>1</v>
      </c>
      <c r="K263" t="s">
        <v>15</v>
      </c>
      <c r="L263" s="2" t="s">
        <v>23</v>
      </c>
      <c r="M263" s="4">
        <v>36</v>
      </c>
      <c r="N263" s="4" t="str">
        <f>IF(Bike_Data[[#This Row],[Age]]&gt;=54,"Old",IF(Bike_Data[[#This Row],[Age]]&lt;30,"Young Adult","Middle Age"))</f>
        <v>Middle Age</v>
      </c>
      <c r="O263" s="5">
        <f t="shared" ca="1" si="4"/>
        <v>29670</v>
      </c>
      <c r="P263" s="2" t="s">
        <v>14</v>
      </c>
    </row>
    <row r="264" spans="1:16" x14ac:dyDescent="0.25">
      <c r="A264">
        <v>26944</v>
      </c>
      <c r="B264" s="2" t="s">
        <v>32</v>
      </c>
      <c r="C264" s="2" t="s">
        <v>34</v>
      </c>
      <c r="D264" s="4">
        <v>90000</v>
      </c>
      <c r="E2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64">
        <v>2</v>
      </c>
      <c r="G264" s="2" t="s">
        <v>26</v>
      </c>
      <c r="H264" s="2" t="s">
        <v>24</v>
      </c>
      <c r="I264" t="s">
        <v>14</v>
      </c>
      <c r="J264">
        <v>0</v>
      </c>
      <c r="K264" t="s">
        <v>15</v>
      </c>
      <c r="L264" s="2" t="s">
        <v>16</v>
      </c>
      <c r="M264" s="4">
        <v>36</v>
      </c>
      <c r="N264" s="4" t="str">
        <f>IF(Bike_Data[[#This Row],[Age]]&gt;=54,"Old",IF(Bike_Data[[#This Row],[Age]]&lt;30,"Young Adult","Middle Age"))</f>
        <v>Middle Age</v>
      </c>
      <c r="O264" s="5">
        <f t="shared" ca="1" si="4"/>
        <v>27117</v>
      </c>
      <c r="P264" s="2" t="s">
        <v>14</v>
      </c>
    </row>
    <row r="265" spans="1:16" x14ac:dyDescent="0.25">
      <c r="A265">
        <v>16209</v>
      </c>
      <c r="B265" s="2" t="s">
        <v>32</v>
      </c>
      <c r="C265" s="2" t="s">
        <v>33</v>
      </c>
      <c r="D265" s="4">
        <v>50000</v>
      </c>
      <c r="E26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5">
        <v>0</v>
      </c>
      <c r="G265" s="2" t="s">
        <v>29</v>
      </c>
      <c r="H265" s="2" t="s">
        <v>13</v>
      </c>
      <c r="I265" t="s">
        <v>14</v>
      </c>
      <c r="J265">
        <v>0</v>
      </c>
      <c r="K265" t="s">
        <v>25</v>
      </c>
      <c r="L265" s="2" t="s">
        <v>16</v>
      </c>
      <c r="M265" s="4">
        <v>36</v>
      </c>
      <c r="N265" s="4" t="str">
        <f>IF(Bike_Data[[#This Row],[Age]]&gt;=54,"Old",IF(Bike_Data[[#This Row],[Age]]&lt;30,"Young Adult","Middle Age"))</f>
        <v>Middle Age</v>
      </c>
      <c r="O265" s="5">
        <f t="shared" ca="1" si="4"/>
        <v>32767</v>
      </c>
      <c r="P265" s="2" t="s">
        <v>17</v>
      </c>
    </row>
    <row r="266" spans="1:16" x14ac:dyDescent="0.25">
      <c r="A266">
        <v>14669</v>
      </c>
      <c r="B266" s="2" t="s">
        <v>31</v>
      </c>
      <c r="C266" s="2" t="s">
        <v>33</v>
      </c>
      <c r="D266" s="4">
        <v>80000</v>
      </c>
      <c r="E26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66">
        <v>4</v>
      </c>
      <c r="G266" s="2" t="s">
        <v>29</v>
      </c>
      <c r="H266" s="2" t="s">
        <v>27</v>
      </c>
      <c r="I266" t="s">
        <v>14</v>
      </c>
      <c r="J266">
        <v>1</v>
      </c>
      <c r="K266" t="s">
        <v>15</v>
      </c>
      <c r="L266" s="2" t="s">
        <v>23</v>
      </c>
      <c r="M266" s="4">
        <v>36</v>
      </c>
      <c r="N266" s="4" t="str">
        <f>IF(Bike_Data[[#This Row],[Age]]&gt;=54,"Old",IF(Bike_Data[[#This Row],[Age]]&lt;30,"Young Adult","Middle Age"))</f>
        <v>Middle Age</v>
      </c>
      <c r="O266" s="5">
        <f t="shared" ca="1" si="4"/>
        <v>32536</v>
      </c>
      <c r="P266" s="2" t="s">
        <v>17</v>
      </c>
    </row>
    <row r="267" spans="1:16" x14ac:dyDescent="0.25">
      <c r="A267">
        <v>19299</v>
      </c>
      <c r="B267" s="2" t="s">
        <v>31</v>
      </c>
      <c r="C267" s="2" t="s">
        <v>33</v>
      </c>
      <c r="D267" s="4">
        <v>50000</v>
      </c>
      <c r="E2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7">
        <v>0</v>
      </c>
      <c r="G267" s="2" t="s">
        <v>29</v>
      </c>
      <c r="H267" s="2" t="s">
        <v>13</v>
      </c>
      <c r="I267" t="s">
        <v>14</v>
      </c>
      <c r="J267">
        <v>0</v>
      </c>
      <c r="K267" t="s">
        <v>15</v>
      </c>
      <c r="L267" s="2" t="s">
        <v>16</v>
      </c>
      <c r="M267" s="4">
        <v>36</v>
      </c>
      <c r="N267" s="4" t="str">
        <f>IF(Bike_Data[[#This Row],[Age]]&gt;=54,"Old",IF(Bike_Data[[#This Row],[Age]]&lt;30,"Young Adult","Middle Age"))</f>
        <v>Middle Age</v>
      </c>
      <c r="O267" s="5">
        <f t="shared" ca="1" si="4"/>
        <v>30290</v>
      </c>
      <c r="P267" s="2" t="s">
        <v>14</v>
      </c>
    </row>
    <row r="268" spans="1:16" x14ac:dyDescent="0.25">
      <c r="A268">
        <v>14164</v>
      </c>
      <c r="B268" s="2" t="s">
        <v>32</v>
      </c>
      <c r="C268" s="2" t="s">
        <v>33</v>
      </c>
      <c r="D268" s="4">
        <v>50000</v>
      </c>
      <c r="E26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8">
        <v>0</v>
      </c>
      <c r="G268" s="2" t="s">
        <v>29</v>
      </c>
      <c r="H268" s="2" t="s">
        <v>13</v>
      </c>
      <c r="I268" t="s">
        <v>14</v>
      </c>
      <c r="J268">
        <v>0</v>
      </c>
      <c r="K268" t="s">
        <v>15</v>
      </c>
      <c r="L268" s="2" t="s">
        <v>16</v>
      </c>
      <c r="M268" s="4">
        <v>36</v>
      </c>
      <c r="N268" s="4" t="str">
        <f>IF(Bike_Data[[#This Row],[Age]]&gt;=54,"Old",IF(Bike_Data[[#This Row],[Age]]&lt;30,"Young Adult","Middle Age"))</f>
        <v>Middle Age</v>
      </c>
      <c r="O268" s="5">
        <f t="shared" ca="1" si="4"/>
        <v>30195</v>
      </c>
      <c r="P268" s="2" t="s">
        <v>14</v>
      </c>
    </row>
    <row r="269" spans="1:16" x14ac:dyDescent="0.25">
      <c r="A269">
        <v>12284</v>
      </c>
      <c r="B269" s="2" t="s">
        <v>31</v>
      </c>
      <c r="C269" s="2" t="s">
        <v>33</v>
      </c>
      <c r="D269" s="4">
        <v>30000</v>
      </c>
      <c r="E26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69">
        <v>0</v>
      </c>
      <c r="G269" s="2" t="s">
        <v>12</v>
      </c>
      <c r="H269" s="2" t="s">
        <v>19</v>
      </c>
      <c r="I269" t="s">
        <v>17</v>
      </c>
      <c r="J269">
        <v>0</v>
      </c>
      <c r="K269" t="s">
        <v>15</v>
      </c>
      <c r="L269" s="2" t="s">
        <v>16</v>
      </c>
      <c r="M269" s="4">
        <v>36</v>
      </c>
      <c r="N269" s="4" t="str">
        <f>IF(Bike_Data[[#This Row],[Age]]&gt;=54,"Old",IF(Bike_Data[[#This Row],[Age]]&lt;30,"Young Adult","Middle Age"))</f>
        <v>Middle Age</v>
      </c>
      <c r="O269" s="5">
        <f t="shared" ca="1" si="4"/>
        <v>36540</v>
      </c>
      <c r="P269" s="2" t="s">
        <v>14</v>
      </c>
    </row>
    <row r="270" spans="1:16" x14ac:dyDescent="0.25">
      <c r="A270">
        <v>20851</v>
      </c>
      <c r="B270" s="2" t="s">
        <v>32</v>
      </c>
      <c r="C270" s="2" t="s">
        <v>34</v>
      </c>
      <c r="D270" s="4">
        <v>20000</v>
      </c>
      <c r="E27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70">
        <v>0</v>
      </c>
      <c r="G270" s="2" t="s">
        <v>18</v>
      </c>
      <c r="H270" s="2" t="s">
        <v>24</v>
      </c>
      <c r="I270" t="s">
        <v>17</v>
      </c>
      <c r="J270">
        <v>1</v>
      </c>
      <c r="K270" t="s">
        <v>21</v>
      </c>
      <c r="L270" s="2" t="s">
        <v>16</v>
      </c>
      <c r="M270" s="4">
        <v>36</v>
      </c>
      <c r="N270" s="4" t="str">
        <f>IF(Bike_Data[[#This Row],[Age]]&gt;=54,"Old",IF(Bike_Data[[#This Row],[Age]]&lt;30,"Young Adult","Middle Age"))</f>
        <v>Middle Age</v>
      </c>
      <c r="O270" s="5">
        <f t="shared" ca="1" si="4"/>
        <v>37696</v>
      </c>
      <c r="P270" s="2" t="s">
        <v>14</v>
      </c>
    </row>
    <row r="271" spans="1:16" x14ac:dyDescent="0.25">
      <c r="A271">
        <v>11896</v>
      </c>
      <c r="B271" s="2" t="s">
        <v>31</v>
      </c>
      <c r="C271" s="2" t="s">
        <v>34</v>
      </c>
      <c r="D271" s="4">
        <v>100000</v>
      </c>
      <c r="E27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71">
        <v>1</v>
      </c>
      <c r="G271" s="2" t="s">
        <v>29</v>
      </c>
      <c r="H271" s="2" t="s">
        <v>27</v>
      </c>
      <c r="I271" t="s">
        <v>14</v>
      </c>
      <c r="J271">
        <v>0</v>
      </c>
      <c r="K271" t="s">
        <v>21</v>
      </c>
      <c r="L271" s="2" t="s">
        <v>23</v>
      </c>
      <c r="M271" s="4">
        <v>36</v>
      </c>
      <c r="N271" s="4" t="str">
        <f>IF(Bike_Data[[#This Row],[Age]]&gt;=54,"Old",IF(Bike_Data[[#This Row],[Age]]&lt;30,"Young Adult","Middle Age"))</f>
        <v>Middle Age</v>
      </c>
      <c r="O271" s="5">
        <f t="shared" ca="1" si="4"/>
        <v>30561</v>
      </c>
      <c r="P271" s="2" t="s">
        <v>14</v>
      </c>
    </row>
    <row r="272" spans="1:16" x14ac:dyDescent="0.25">
      <c r="A272">
        <v>28207</v>
      </c>
      <c r="B272" s="2" t="s">
        <v>31</v>
      </c>
      <c r="C272" s="2" t="s">
        <v>34</v>
      </c>
      <c r="D272" s="4">
        <v>80000</v>
      </c>
      <c r="E2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72">
        <v>4</v>
      </c>
      <c r="G272" s="2" t="s">
        <v>29</v>
      </c>
      <c r="H272" s="2" t="s">
        <v>27</v>
      </c>
      <c r="I272" t="s">
        <v>14</v>
      </c>
      <c r="J272">
        <v>1</v>
      </c>
      <c r="K272" t="s">
        <v>15</v>
      </c>
      <c r="L272" s="2" t="s">
        <v>23</v>
      </c>
      <c r="M272" s="4">
        <v>36</v>
      </c>
      <c r="N272" s="4" t="str">
        <f>IF(Bike_Data[[#This Row],[Age]]&gt;=54,"Old",IF(Bike_Data[[#This Row],[Age]]&lt;30,"Young Adult","Middle Age"))</f>
        <v>Middle Age</v>
      </c>
      <c r="O272" s="5">
        <f t="shared" ca="1" si="4"/>
        <v>37884</v>
      </c>
      <c r="P272" s="2" t="s">
        <v>14</v>
      </c>
    </row>
    <row r="273" spans="1:16" x14ac:dyDescent="0.25">
      <c r="A273">
        <v>23780</v>
      </c>
      <c r="B273" s="2" t="s">
        <v>32</v>
      </c>
      <c r="C273" s="2" t="s">
        <v>34</v>
      </c>
      <c r="D273" s="4">
        <v>40000</v>
      </c>
      <c r="E27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73">
        <v>2</v>
      </c>
      <c r="G273" s="2" t="s">
        <v>18</v>
      </c>
      <c r="H273" s="2" t="s">
        <v>19</v>
      </c>
      <c r="I273" t="s">
        <v>17</v>
      </c>
      <c r="J273">
        <v>2</v>
      </c>
      <c r="K273" t="s">
        <v>15</v>
      </c>
      <c r="L273" s="2" t="s">
        <v>16</v>
      </c>
      <c r="M273" s="4">
        <v>36</v>
      </c>
      <c r="N273" s="4" t="str">
        <f>IF(Bike_Data[[#This Row],[Age]]&gt;=54,"Old",IF(Bike_Data[[#This Row],[Age]]&lt;30,"Young Adult","Middle Age"))</f>
        <v>Middle Age</v>
      </c>
      <c r="O273" s="5">
        <f t="shared" ca="1" si="4"/>
        <v>29977</v>
      </c>
      <c r="P273" s="2" t="s">
        <v>14</v>
      </c>
    </row>
    <row r="274" spans="1:16" x14ac:dyDescent="0.25">
      <c r="A274">
        <v>14865</v>
      </c>
      <c r="B274" s="2" t="s">
        <v>32</v>
      </c>
      <c r="C274" s="2" t="s">
        <v>34</v>
      </c>
      <c r="D274" s="4">
        <v>40000</v>
      </c>
      <c r="E27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74">
        <v>2</v>
      </c>
      <c r="G274" s="2" t="s">
        <v>18</v>
      </c>
      <c r="H274" s="2" t="s">
        <v>19</v>
      </c>
      <c r="I274" t="s">
        <v>14</v>
      </c>
      <c r="J274">
        <v>2</v>
      </c>
      <c r="K274" t="s">
        <v>25</v>
      </c>
      <c r="L274" s="2" t="s">
        <v>16</v>
      </c>
      <c r="M274" s="4">
        <v>36</v>
      </c>
      <c r="N274" s="4" t="str">
        <f>IF(Bike_Data[[#This Row],[Age]]&gt;=54,"Old",IF(Bike_Data[[#This Row],[Age]]&lt;30,"Young Adult","Middle Age"))</f>
        <v>Middle Age</v>
      </c>
      <c r="O274" s="5">
        <f t="shared" ca="1" si="4"/>
        <v>31757</v>
      </c>
      <c r="P274" s="2" t="s">
        <v>17</v>
      </c>
    </row>
    <row r="275" spans="1:16" x14ac:dyDescent="0.25">
      <c r="A275">
        <v>27582</v>
      </c>
      <c r="B275" s="2" t="s">
        <v>32</v>
      </c>
      <c r="C275" s="2" t="s">
        <v>33</v>
      </c>
      <c r="D275" s="4">
        <v>90000</v>
      </c>
      <c r="E27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75">
        <v>2</v>
      </c>
      <c r="G275" s="2" t="s">
        <v>12</v>
      </c>
      <c r="H275" s="2" t="s">
        <v>20</v>
      </c>
      <c r="I275" t="s">
        <v>17</v>
      </c>
      <c r="J275">
        <v>0</v>
      </c>
      <c r="K275" t="s">
        <v>15</v>
      </c>
      <c r="L275" s="2" t="s">
        <v>23</v>
      </c>
      <c r="M275" s="4">
        <v>36</v>
      </c>
      <c r="N275" s="4" t="str">
        <f>IF(Bike_Data[[#This Row],[Age]]&gt;=54,"Old",IF(Bike_Data[[#This Row],[Age]]&lt;30,"Young Adult","Middle Age"))</f>
        <v>Middle Age</v>
      </c>
      <c r="O275" s="5">
        <f t="shared" ca="1" si="4"/>
        <v>28633</v>
      </c>
      <c r="P275" s="2" t="s">
        <v>14</v>
      </c>
    </row>
    <row r="276" spans="1:16" x14ac:dyDescent="0.25">
      <c r="A276">
        <v>17048</v>
      </c>
      <c r="B276" s="2" t="s">
        <v>32</v>
      </c>
      <c r="C276" s="2" t="s">
        <v>33</v>
      </c>
      <c r="D276" s="4">
        <v>90000</v>
      </c>
      <c r="E27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76">
        <v>1</v>
      </c>
      <c r="G276" s="2" t="s">
        <v>29</v>
      </c>
      <c r="H276" s="2" t="s">
        <v>27</v>
      </c>
      <c r="I276" t="s">
        <v>14</v>
      </c>
      <c r="J276">
        <v>0</v>
      </c>
      <c r="K276" t="s">
        <v>15</v>
      </c>
      <c r="L276" s="2" t="s">
        <v>23</v>
      </c>
      <c r="M276" s="4">
        <v>36</v>
      </c>
      <c r="N276" s="4" t="str">
        <f>IF(Bike_Data[[#This Row],[Age]]&gt;=54,"Old",IF(Bike_Data[[#This Row],[Age]]&lt;30,"Young Adult","Middle Age"))</f>
        <v>Middle Age</v>
      </c>
      <c r="O276" s="5">
        <f t="shared" ca="1" si="4"/>
        <v>33645</v>
      </c>
      <c r="P276" s="2" t="s">
        <v>14</v>
      </c>
    </row>
    <row r="277" spans="1:16" x14ac:dyDescent="0.25">
      <c r="A277">
        <v>26651</v>
      </c>
      <c r="B277" s="2" t="s">
        <v>32</v>
      </c>
      <c r="C277" s="2" t="s">
        <v>34</v>
      </c>
      <c r="D277" s="4">
        <v>80000</v>
      </c>
      <c r="E27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77">
        <v>4</v>
      </c>
      <c r="G277" s="2" t="s">
        <v>29</v>
      </c>
      <c r="H277" s="2" t="s">
        <v>27</v>
      </c>
      <c r="I277" t="s">
        <v>14</v>
      </c>
      <c r="J277">
        <v>0</v>
      </c>
      <c r="K277" t="s">
        <v>15</v>
      </c>
      <c r="L277" s="2" t="s">
        <v>23</v>
      </c>
      <c r="M277" s="4">
        <v>36</v>
      </c>
      <c r="N277" s="4" t="str">
        <f>IF(Bike_Data[[#This Row],[Age]]&gt;=54,"Old",IF(Bike_Data[[#This Row],[Age]]&lt;30,"Young Adult","Middle Age"))</f>
        <v>Middle Age</v>
      </c>
      <c r="O277" s="5">
        <f t="shared" ca="1" si="4"/>
        <v>28823</v>
      </c>
      <c r="P277" s="2" t="s">
        <v>14</v>
      </c>
    </row>
    <row r="278" spans="1:16" x14ac:dyDescent="0.25">
      <c r="A278">
        <v>16559</v>
      </c>
      <c r="B278" s="2" t="s">
        <v>32</v>
      </c>
      <c r="C278" s="2" t="s">
        <v>33</v>
      </c>
      <c r="D278" s="4">
        <v>10000</v>
      </c>
      <c r="E27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78">
        <v>2</v>
      </c>
      <c r="G278" s="2" t="s">
        <v>26</v>
      </c>
      <c r="H278" s="2" t="s">
        <v>24</v>
      </c>
      <c r="I278" t="s">
        <v>14</v>
      </c>
      <c r="J278">
        <v>0</v>
      </c>
      <c r="K278" t="s">
        <v>15</v>
      </c>
      <c r="L278" s="2" t="s">
        <v>16</v>
      </c>
      <c r="M278" s="4">
        <v>36</v>
      </c>
      <c r="N278" s="4" t="str">
        <f>IF(Bike_Data[[#This Row],[Age]]&gt;=54,"Old",IF(Bike_Data[[#This Row],[Age]]&lt;30,"Young Adult","Middle Age"))</f>
        <v>Middle Age</v>
      </c>
      <c r="O278" s="5">
        <f t="shared" ca="1" si="4"/>
        <v>32889</v>
      </c>
      <c r="P278" s="2" t="s">
        <v>14</v>
      </c>
    </row>
    <row r="279" spans="1:16" x14ac:dyDescent="0.25">
      <c r="A279">
        <v>27585</v>
      </c>
      <c r="B279" s="2" t="s">
        <v>31</v>
      </c>
      <c r="C279" s="2" t="s">
        <v>33</v>
      </c>
      <c r="D279" s="4">
        <v>90000</v>
      </c>
      <c r="E27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79">
        <v>2</v>
      </c>
      <c r="G279" s="2" t="s">
        <v>12</v>
      </c>
      <c r="H279" s="2" t="s">
        <v>20</v>
      </c>
      <c r="I279" t="s">
        <v>17</v>
      </c>
      <c r="J279">
        <v>0</v>
      </c>
      <c r="K279" t="s">
        <v>15</v>
      </c>
      <c r="L279" s="2" t="s">
        <v>23</v>
      </c>
      <c r="M279" s="4">
        <v>36</v>
      </c>
      <c r="N279" s="4" t="str">
        <f>IF(Bike_Data[[#This Row],[Age]]&gt;=54,"Old",IF(Bike_Data[[#This Row],[Age]]&lt;30,"Young Adult","Middle Age"))</f>
        <v>Middle Age</v>
      </c>
      <c r="O279" s="5">
        <f t="shared" ca="1" si="4"/>
        <v>33966</v>
      </c>
      <c r="P279" s="2" t="s">
        <v>14</v>
      </c>
    </row>
    <row r="280" spans="1:16" x14ac:dyDescent="0.25">
      <c r="A280">
        <v>28521</v>
      </c>
      <c r="B280" s="2" t="s">
        <v>32</v>
      </c>
      <c r="C280" s="2" t="s">
        <v>34</v>
      </c>
      <c r="D280" s="4">
        <v>40000</v>
      </c>
      <c r="E28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80">
        <v>0</v>
      </c>
      <c r="G280" s="2" t="s">
        <v>29</v>
      </c>
      <c r="H280" s="2" t="s">
        <v>19</v>
      </c>
      <c r="I280" t="s">
        <v>17</v>
      </c>
      <c r="J280">
        <v>0</v>
      </c>
      <c r="K280" t="s">
        <v>15</v>
      </c>
      <c r="L280" s="2" t="s">
        <v>16</v>
      </c>
      <c r="M280" s="4">
        <v>36</v>
      </c>
      <c r="N280" s="4" t="str">
        <f>IF(Bike_Data[[#This Row],[Age]]&gt;=54,"Old",IF(Bike_Data[[#This Row],[Age]]&lt;30,"Young Adult","Middle Age"))</f>
        <v>Middle Age</v>
      </c>
      <c r="O280" s="5">
        <f t="shared" ca="1" si="4"/>
        <v>30809</v>
      </c>
      <c r="P280" s="2" t="s">
        <v>14</v>
      </c>
    </row>
    <row r="281" spans="1:16" x14ac:dyDescent="0.25">
      <c r="A281">
        <v>11641</v>
      </c>
      <c r="B281" s="2" t="s">
        <v>31</v>
      </c>
      <c r="C281" s="2" t="s">
        <v>34</v>
      </c>
      <c r="D281" s="4">
        <v>50000</v>
      </c>
      <c r="E28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81">
        <v>1</v>
      </c>
      <c r="G281" s="2" t="s">
        <v>12</v>
      </c>
      <c r="H281" s="2" t="s">
        <v>13</v>
      </c>
      <c r="I281" t="s">
        <v>14</v>
      </c>
      <c r="J281">
        <v>0</v>
      </c>
      <c r="K281" t="s">
        <v>15</v>
      </c>
      <c r="L281" s="2" t="s">
        <v>30</v>
      </c>
      <c r="M281" s="4">
        <v>36</v>
      </c>
      <c r="N281" s="4" t="str">
        <f>IF(Bike_Data[[#This Row],[Age]]&gt;=54,"Old",IF(Bike_Data[[#This Row],[Age]]&lt;30,"Young Adult","Middle Age"))</f>
        <v>Middle Age</v>
      </c>
      <c r="O281" s="5">
        <f t="shared" ca="1" si="4"/>
        <v>34224</v>
      </c>
      <c r="P281" s="2" t="s">
        <v>17</v>
      </c>
    </row>
    <row r="282" spans="1:16" x14ac:dyDescent="0.25">
      <c r="A282">
        <v>11644</v>
      </c>
      <c r="B282" s="2" t="s">
        <v>32</v>
      </c>
      <c r="C282" s="2" t="s">
        <v>34</v>
      </c>
      <c r="D282" s="4">
        <v>40000</v>
      </c>
      <c r="E28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82">
        <v>2</v>
      </c>
      <c r="G282" s="2" t="s">
        <v>12</v>
      </c>
      <c r="H282" s="2" t="s">
        <v>13</v>
      </c>
      <c r="I282" t="s">
        <v>14</v>
      </c>
      <c r="J282">
        <v>0</v>
      </c>
      <c r="K282" t="s">
        <v>21</v>
      </c>
      <c r="L282" s="2" t="s">
        <v>30</v>
      </c>
      <c r="M282" s="4">
        <v>36</v>
      </c>
      <c r="N282" s="4" t="str">
        <f>IF(Bike_Data[[#This Row],[Age]]&gt;=54,"Old",IF(Bike_Data[[#This Row],[Age]]&lt;30,"Young Adult","Middle Age"))</f>
        <v>Middle Age</v>
      </c>
      <c r="O282" s="5">
        <f t="shared" ca="1" si="4"/>
        <v>35484</v>
      </c>
      <c r="P282" s="2" t="s">
        <v>17</v>
      </c>
    </row>
    <row r="283" spans="1:16" x14ac:dyDescent="0.25">
      <c r="A283">
        <v>21599</v>
      </c>
      <c r="B283" s="2" t="s">
        <v>31</v>
      </c>
      <c r="C283" s="2" t="s">
        <v>33</v>
      </c>
      <c r="D283" s="4">
        <v>60000</v>
      </c>
      <c r="E2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83">
        <v>1</v>
      </c>
      <c r="G283" s="2" t="s">
        <v>29</v>
      </c>
      <c r="H283" s="2" t="s">
        <v>20</v>
      </c>
      <c r="I283" t="s">
        <v>14</v>
      </c>
      <c r="J283">
        <v>0</v>
      </c>
      <c r="K283" t="s">
        <v>21</v>
      </c>
      <c r="L283" s="2" t="s">
        <v>30</v>
      </c>
      <c r="M283" s="4">
        <v>36</v>
      </c>
      <c r="N283" s="4" t="str">
        <f>IF(Bike_Data[[#This Row],[Age]]&gt;=54,"Old",IF(Bike_Data[[#This Row],[Age]]&lt;30,"Young Adult","Middle Age"))</f>
        <v>Middle Age</v>
      </c>
      <c r="O283" s="5">
        <f t="shared" ca="1" si="4"/>
        <v>36835</v>
      </c>
      <c r="P283" s="2" t="s">
        <v>14</v>
      </c>
    </row>
    <row r="284" spans="1:16" x14ac:dyDescent="0.25">
      <c r="A284">
        <v>22252</v>
      </c>
      <c r="B284" s="2" t="s">
        <v>32</v>
      </c>
      <c r="C284" s="2" t="s">
        <v>33</v>
      </c>
      <c r="D284" s="4">
        <v>60000</v>
      </c>
      <c r="E2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84">
        <v>1</v>
      </c>
      <c r="G284" s="2" t="s">
        <v>29</v>
      </c>
      <c r="H284" s="2" t="s">
        <v>20</v>
      </c>
      <c r="I284" t="s">
        <v>14</v>
      </c>
      <c r="J284">
        <v>0</v>
      </c>
      <c r="K284" t="s">
        <v>21</v>
      </c>
      <c r="L284" s="2" t="s">
        <v>30</v>
      </c>
      <c r="M284" s="4">
        <v>36</v>
      </c>
      <c r="N284" s="4" t="str">
        <f>IF(Bike_Data[[#This Row],[Age]]&gt;=54,"Old",IF(Bike_Data[[#This Row],[Age]]&lt;30,"Young Adult","Middle Age"))</f>
        <v>Middle Age</v>
      </c>
      <c r="O284" s="5">
        <f t="shared" ca="1" si="4"/>
        <v>32910</v>
      </c>
      <c r="P284" s="2" t="s">
        <v>14</v>
      </c>
    </row>
    <row r="285" spans="1:16" x14ac:dyDescent="0.25">
      <c r="A285">
        <v>28068</v>
      </c>
      <c r="B285" s="2" t="s">
        <v>32</v>
      </c>
      <c r="C285" s="2" t="s">
        <v>33</v>
      </c>
      <c r="D285" s="4">
        <v>80000</v>
      </c>
      <c r="E28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85">
        <v>3</v>
      </c>
      <c r="G285" s="2" t="s">
        <v>29</v>
      </c>
      <c r="H285" s="2" t="s">
        <v>20</v>
      </c>
      <c r="I285" t="s">
        <v>17</v>
      </c>
      <c r="J285">
        <v>0</v>
      </c>
      <c r="K285" t="s">
        <v>15</v>
      </c>
      <c r="L285" s="2" t="s">
        <v>30</v>
      </c>
      <c r="M285" s="4">
        <v>36</v>
      </c>
      <c r="N285" s="4" t="str">
        <f>IF(Bike_Data[[#This Row],[Age]]&gt;=54,"Old",IF(Bike_Data[[#This Row],[Age]]&lt;30,"Young Adult","Middle Age"))</f>
        <v>Middle Age</v>
      </c>
      <c r="O285" s="5">
        <f t="shared" ca="1" si="4"/>
        <v>35654</v>
      </c>
      <c r="P285" s="2" t="s">
        <v>14</v>
      </c>
    </row>
    <row r="286" spans="1:16" x14ac:dyDescent="0.25">
      <c r="A286">
        <v>26327</v>
      </c>
      <c r="B286" s="2" t="s">
        <v>31</v>
      </c>
      <c r="C286" s="2" t="s">
        <v>34</v>
      </c>
      <c r="D286" s="4">
        <v>70000</v>
      </c>
      <c r="E28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86">
        <v>4</v>
      </c>
      <c r="G286" s="2" t="s">
        <v>29</v>
      </c>
      <c r="H286" s="2" t="s">
        <v>20</v>
      </c>
      <c r="I286" t="s">
        <v>14</v>
      </c>
      <c r="J286">
        <v>0</v>
      </c>
      <c r="K286" t="s">
        <v>21</v>
      </c>
      <c r="L286" s="2" t="s">
        <v>30</v>
      </c>
      <c r="M286" s="4">
        <v>36</v>
      </c>
      <c r="N286" s="4" t="str">
        <f>IF(Bike_Data[[#This Row],[Age]]&gt;=54,"Old",IF(Bike_Data[[#This Row],[Age]]&lt;30,"Young Adult","Middle Age"))</f>
        <v>Middle Age</v>
      </c>
      <c r="O286" s="5">
        <f t="shared" ca="1" si="4"/>
        <v>31060</v>
      </c>
      <c r="P286" s="2" t="s">
        <v>14</v>
      </c>
    </row>
    <row r="287" spans="1:16" x14ac:dyDescent="0.25">
      <c r="A287">
        <v>11801</v>
      </c>
      <c r="B287" s="2" t="s">
        <v>31</v>
      </c>
      <c r="C287" s="2" t="s">
        <v>34</v>
      </c>
      <c r="D287" s="4">
        <v>60000</v>
      </c>
      <c r="E28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87">
        <v>1</v>
      </c>
      <c r="G287" s="2" t="s">
        <v>29</v>
      </c>
      <c r="H287" s="2" t="s">
        <v>20</v>
      </c>
      <c r="I287" t="s">
        <v>14</v>
      </c>
      <c r="J287">
        <v>0</v>
      </c>
      <c r="K287" t="s">
        <v>21</v>
      </c>
      <c r="L287" s="2" t="s">
        <v>30</v>
      </c>
      <c r="M287" s="4">
        <v>36</v>
      </c>
      <c r="N287" s="4" t="str">
        <f>IF(Bike_Data[[#This Row],[Age]]&gt;=54,"Old",IF(Bike_Data[[#This Row],[Age]]&lt;30,"Young Adult","Middle Age"))</f>
        <v>Middle Age</v>
      </c>
      <c r="O287" s="5">
        <f t="shared" ca="1" si="4"/>
        <v>27684</v>
      </c>
      <c r="P287" s="2" t="s">
        <v>17</v>
      </c>
    </row>
    <row r="288" spans="1:16" x14ac:dyDescent="0.25">
      <c r="A288">
        <v>27261</v>
      </c>
      <c r="B288" s="2" t="s">
        <v>31</v>
      </c>
      <c r="C288" s="2" t="s">
        <v>34</v>
      </c>
      <c r="D288" s="4">
        <v>40000</v>
      </c>
      <c r="E2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88">
        <v>1</v>
      </c>
      <c r="G288" s="2" t="s">
        <v>12</v>
      </c>
      <c r="H288" s="2" t="s">
        <v>13</v>
      </c>
      <c r="I288" t="s">
        <v>17</v>
      </c>
      <c r="J288">
        <v>1</v>
      </c>
      <c r="K288" t="s">
        <v>15</v>
      </c>
      <c r="L288" s="2" t="s">
        <v>30</v>
      </c>
      <c r="M288" s="4">
        <v>36</v>
      </c>
      <c r="N288" s="4" t="str">
        <f>IF(Bike_Data[[#This Row],[Age]]&gt;=54,"Old",IF(Bike_Data[[#This Row],[Age]]&lt;30,"Young Adult","Middle Age"))</f>
        <v>Middle Age</v>
      </c>
      <c r="O288" s="5">
        <f t="shared" ca="1" si="4"/>
        <v>31060</v>
      </c>
      <c r="P288" s="2" t="s">
        <v>14</v>
      </c>
    </row>
    <row r="289" spans="1:16" x14ac:dyDescent="0.25">
      <c r="A289">
        <v>14602</v>
      </c>
      <c r="B289" s="2" t="s">
        <v>31</v>
      </c>
      <c r="C289" s="2" t="s">
        <v>33</v>
      </c>
      <c r="D289" s="4">
        <v>80000</v>
      </c>
      <c r="E28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89">
        <v>3</v>
      </c>
      <c r="G289" s="2" t="s">
        <v>29</v>
      </c>
      <c r="H289" s="2" t="s">
        <v>20</v>
      </c>
      <c r="I289" t="s">
        <v>14</v>
      </c>
      <c r="J289">
        <v>0</v>
      </c>
      <c r="K289" t="s">
        <v>15</v>
      </c>
      <c r="L289" s="2" t="s">
        <v>30</v>
      </c>
      <c r="M289" s="4">
        <v>36</v>
      </c>
      <c r="N289" s="4" t="str">
        <f>IF(Bike_Data[[#This Row],[Age]]&gt;=54,"Old",IF(Bike_Data[[#This Row],[Age]]&lt;30,"Young Adult","Middle Age"))</f>
        <v>Middle Age</v>
      </c>
      <c r="O289" s="5">
        <f t="shared" ca="1" si="4"/>
        <v>28385</v>
      </c>
      <c r="P289" s="2" t="s">
        <v>14</v>
      </c>
    </row>
    <row r="290" spans="1:16" x14ac:dyDescent="0.25">
      <c r="A290">
        <v>15501</v>
      </c>
      <c r="B290" s="2" t="s">
        <v>31</v>
      </c>
      <c r="C290" s="2" t="s">
        <v>34</v>
      </c>
      <c r="D290" s="4">
        <v>70000</v>
      </c>
      <c r="E29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0">
        <v>4</v>
      </c>
      <c r="G290" s="2" t="s">
        <v>29</v>
      </c>
      <c r="H290" s="2" t="s">
        <v>20</v>
      </c>
      <c r="I290" t="s">
        <v>14</v>
      </c>
      <c r="J290">
        <v>0</v>
      </c>
      <c r="K290" t="s">
        <v>21</v>
      </c>
      <c r="L290" s="2" t="s">
        <v>30</v>
      </c>
      <c r="M290" s="4">
        <v>36</v>
      </c>
      <c r="N290" s="4" t="str">
        <f>IF(Bike_Data[[#This Row],[Age]]&gt;=54,"Old",IF(Bike_Data[[#This Row],[Age]]&lt;30,"Young Adult","Middle Age"))</f>
        <v>Middle Age</v>
      </c>
      <c r="O290" s="5">
        <f t="shared" ca="1" si="4"/>
        <v>29492</v>
      </c>
      <c r="P290" s="2" t="s">
        <v>14</v>
      </c>
    </row>
    <row r="291" spans="1:16" x14ac:dyDescent="0.25">
      <c r="A291">
        <v>26305</v>
      </c>
      <c r="B291" s="2" t="s">
        <v>32</v>
      </c>
      <c r="C291" s="2" t="s">
        <v>33</v>
      </c>
      <c r="D291" s="4">
        <v>60000</v>
      </c>
      <c r="E29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1">
        <v>2</v>
      </c>
      <c r="G291" s="2" t="s">
        <v>12</v>
      </c>
      <c r="H291" s="2" t="s">
        <v>13</v>
      </c>
      <c r="I291" t="s">
        <v>17</v>
      </c>
      <c r="J291">
        <v>0</v>
      </c>
      <c r="K291" t="s">
        <v>15</v>
      </c>
      <c r="L291" s="2" t="s">
        <v>30</v>
      </c>
      <c r="M291" s="4">
        <v>36</v>
      </c>
      <c r="N291" s="4" t="str">
        <f>IF(Bike_Data[[#This Row],[Age]]&gt;=54,"Old",IF(Bike_Data[[#This Row],[Age]]&lt;30,"Young Adult","Middle Age"))</f>
        <v>Middle Age</v>
      </c>
      <c r="O291" s="5">
        <f t="shared" ca="1" si="4"/>
        <v>32867</v>
      </c>
      <c r="P291" s="2" t="s">
        <v>14</v>
      </c>
    </row>
    <row r="292" spans="1:16" x14ac:dyDescent="0.25">
      <c r="A292">
        <v>28657</v>
      </c>
      <c r="B292" s="2" t="s">
        <v>32</v>
      </c>
      <c r="C292" s="2" t="s">
        <v>34</v>
      </c>
      <c r="D292" s="4">
        <v>60000</v>
      </c>
      <c r="E29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2">
        <v>2</v>
      </c>
      <c r="G292" s="2" t="s">
        <v>12</v>
      </c>
      <c r="H292" s="2" t="s">
        <v>13</v>
      </c>
      <c r="I292" t="s">
        <v>14</v>
      </c>
      <c r="J292">
        <v>0</v>
      </c>
      <c r="K292" t="s">
        <v>21</v>
      </c>
      <c r="L292" s="2" t="s">
        <v>30</v>
      </c>
      <c r="M292" s="4">
        <v>36</v>
      </c>
      <c r="N292" s="4" t="str">
        <f>IF(Bike_Data[[#This Row],[Age]]&gt;=54,"Old",IF(Bike_Data[[#This Row],[Age]]&lt;30,"Young Adult","Middle Age"))</f>
        <v>Middle Age</v>
      </c>
      <c r="O292" s="5">
        <f t="shared" ca="1" si="4"/>
        <v>32345</v>
      </c>
      <c r="P292" s="2" t="s">
        <v>14</v>
      </c>
    </row>
    <row r="293" spans="1:16" x14ac:dyDescent="0.25">
      <c r="A293">
        <v>11663</v>
      </c>
      <c r="B293" s="2" t="s">
        <v>31</v>
      </c>
      <c r="C293" s="2" t="s">
        <v>34</v>
      </c>
      <c r="D293" s="4">
        <v>70000</v>
      </c>
      <c r="E29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3">
        <v>4</v>
      </c>
      <c r="G293" s="2" t="s">
        <v>29</v>
      </c>
      <c r="H293" s="2" t="s">
        <v>20</v>
      </c>
      <c r="I293" t="s">
        <v>14</v>
      </c>
      <c r="J293">
        <v>0</v>
      </c>
      <c r="K293" t="s">
        <v>15</v>
      </c>
      <c r="L293" s="2" t="s">
        <v>30</v>
      </c>
      <c r="M293" s="4">
        <v>36</v>
      </c>
      <c r="N293" s="4" t="str">
        <f>IF(Bike_Data[[#This Row],[Age]]&gt;=54,"Old",IF(Bike_Data[[#This Row],[Age]]&lt;30,"Young Adult","Middle Age"))</f>
        <v>Middle Age</v>
      </c>
      <c r="O293" s="5">
        <f t="shared" ca="1" si="4"/>
        <v>27754</v>
      </c>
      <c r="P293" s="2" t="s">
        <v>14</v>
      </c>
    </row>
    <row r="294" spans="1:16" x14ac:dyDescent="0.25">
      <c r="A294">
        <v>19117</v>
      </c>
      <c r="B294" s="2" t="s">
        <v>32</v>
      </c>
      <c r="C294" s="2" t="s">
        <v>33</v>
      </c>
      <c r="D294" s="4">
        <v>60000</v>
      </c>
      <c r="E2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4">
        <v>1</v>
      </c>
      <c r="G294" s="2" t="s">
        <v>29</v>
      </c>
      <c r="H294" s="2" t="s">
        <v>20</v>
      </c>
      <c r="I294" t="s">
        <v>14</v>
      </c>
      <c r="J294">
        <v>0</v>
      </c>
      <c r="K294" t="s">
        <v>21</v>
      </c>
      <c r="L294" s="2" t="s">
        <v>30</v>
      </c>
      <c r="M294" s="4">
        <v>36</v>
      </c>
      <c r="N294" s="4" t="str">
        <f>IF(Bike_Data[[#This Row],[Age]]&gt;=54,"Old",IF(Bike_Data[[#This Row],[Age]]&lt;30,"Young Adult","Middle Age"))</f>
        <v>Middle Age</v>
      </c>
      <c r="O294" s="5">
        <f t="shared" ca="1" si="4"/>
        <v>27393</v>
      </c>
      <c r="P294" s="2" t="s">
        <v>14</v>
      </c>
    </row>
    <row r="295" spans="1:16" x14ac:dyDescent="0.25">
      <c r="A295">
        <v>14927</v>
      </c>
      <c r="B295" s="2" t="s">
        <v>31</v>
      </c>
      <c r="C295" s="2" t="s">
        <v>33</v>
      </c>
      <c r="D295" s="4">
        <v>30000</v>
      </c>
      <c r="E2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95">
        <v>1</v>
      </c>
      <c r="G295" s="2" t="s">
        <v>12</v>
      </c>
      <c r="H295" s="2" t="s">
        <v>19</v>
      </c>
      <c r="I295" t="s">
        <v>14</v>
      </c>
      <c r="J295">
        <v>0</v>
      </c>
      <c r="K295" t="s">
        <v>15</v>
      </c>
      <c r="L295" s="2" t="s">
        <v>16</v>
      </c>
      <c r="M295" s="4">
        <v>37</v>
      </c>
      <c r="N295" s="4" t="str">
        <f>IF(Bike_Data[[#This Row],[Age]]&gt;=54,"Old",IF(Bike_Data[[#This Row],[Age]]&lt;30,"Young Adult","Middle Age"))</f>
        <v>Middle Age</v>
      </c>
      <c r="O295" s="5">
        <f t="shared" ca="1" si="4"/>
        <v>33123</v>
      </c>
      <c r="P295" s="2" t="s">
        <v>14</v>
      </c>
    </row>
    <row r="296" spans="1:16" x14ac:dyDescent="0.25">
      <c r="A296">
        <v>29355</v>
      </c>
      <c r="B296" s="2" t="s">
        <v>31</v>
      </c>
      <c r="C296" s="2" t="s">
        <v>33</v>
      </c>
      <c r="D296" s="4">
        <v>40000</v>
      </c>
      <c r="E2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96">
        <v>0</v>
      </c>
      <c r="G296" s="2" t="s">
        <v>29</v>
      </c>
      <c r="H296" s="2" t="s">
        <v>19</v>
      </c>
      <c r="I296" t="s">
        <v>14</v>
      </c>
      <c r="J296">
        <v>0</v>
      </c>
      <c r="K296" t="s">
        <v>15</v>
      </c>
      <c r="L296" s="2" t="s">
        <v>16</v>
      </c>
      <c r="M296" s="4">
        <v>37</v>
      </c>
      <c r="N296" s="4" t="str">
        <f>IF(Bike_Data[[#This Row],[Age]]&gt;=54,"Old",IF(Bike_Data[[#This Row],[Age]]&lt;30,"Young Adult","Middle Age"))</f>
        <v>Middle Age</v>
      </c>
      <c r="O296" s="5">
        <f t="shared" ca="1" si="4"/>
        <v>36594</v>
      </c>
      <c r="P296" s="2" t="s">
        <v>14</v>
      </c>
    </row>
    <row r="297" spans="1:16" x14ac:dyDescent="0.25">
      <c r="A297">
        <v>19562</v>
      </c>
      <c r="B297" s="2" t="s">
        <v>32</v>
      </c>
      <c r="C297" s="2" t="s">
        <v>33</v>
      </c>
      <c r="D297" s="4">
        <v>60000</v>
      </c>
      <c r="E29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7">
        <v>2</v>
      </c>
      <c r="G297" s="2" t="s">
        <v>12</v>
      </c>
      <c r="H297" s="2" t="s">
        <v>20</v>
      </c>
      <c r="I297" t="s">
        <v>14</v>
      </c>
      <c r="J297">
        <v>1</v>
      </c>
      <c r="K297" t="s">
        <v>21</v>
      </c>
      <c r="L297" s="2" t="s">
        <v>23</v>
      </c>
      <c r="M297" s="4">
        <v>37</v>
      </c>
      <c r="N297" s="4" t="str">
        <f>IF(Bike_Data[[#This Row],[Age]]&gt;=54,"Old",IF(Bike_Data[[#This Row],[Age]]&lt;30,"Young Adult","Middle Age"))</f>
        <v>Middle Age</v>
      </c>
      <c r="O297" s="5">
        <f t="shared" ca="1" si="4"/>
        <v>29428</v>
      </c>
      <c r="P297" s="2" t="s">
        <v>14</v>
      </c>
    </row>
    <row r="298" spans="1:16" x14ac:dyDescent="0.25">
      <c r="A298">
        <v>12993</v>
      </c>
      <c r="B298" s="2" t="s">
        <v>31</v>
      </c>
      <c r="C298" s="2" t="s">
        <v>34</v>
      </c>
      <c r="D298" s="4">
        <v>60000</v>
      </c>
      <c r="E29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298">
        <v>2</v>
      </c>
      <c r="G298" s="2" t="s">
        <v>12</v>
      </c>
      <c r="H298" s="2" t="s">
        <v>20</v>
      </c>
      <c r="I298" t="s">
        <v>14</v>
      </c>
      <c r="J298">
        <v>1</v>
      </c>
      <c r="K298" t="s">
        <v>21</v>
      </c>
      <c r="L298" s="2" t="s">
        <v>23</v>
      </c>
      <c r="M298" s="4">
        <v>37</v>
      </c>
      <c r="N298" s="4" t="str">
        <f>IF(Bike_Data[[#This Row],[Age]]&gt;=54,"Old",IF(Bike_Data[[#This Row],[Age]]&lt;30,"Young Adult","Middle Age"))</f>
        <v>Middle Age</v>
      </c>
      <c r="O298" s="5">
        <f t="shared" ca="1" si="4"/>
        <v>35172</v>
      </c>
      <c r="P298" s="2" t="s">
        <v>17</v>
      </c>
    </row>
    <row r="299" spans="1:16" x14ac:dyDescent="0.25">
      <c r="A299">
        <v>20877</v>
      </c>
      <c r="B299" s="2" t="s">
        <v>32</v>
      </c>
      <c r="C299" s="2" t="s">
        <v>34</v>
      </c>
      <c r="D299" s="4">
        <v>30000</v>
      </c>
      <c r="E29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299">
        <v>1</v>
      </c>
      <c r="G299" s="2" t="s">
        <v>12</v>
      </c>
      <c r="H299" s="2" t="s">
        <v>19</v>
      </c>
      <c r="I299" t="s">
        <v>14</v>
      </c>
      <c r="J299">
        <v>0</v>
      </c>
      <c r="K299" t="s">
        <v>25</v>
      </c>
      <c r="L299" s="2" t="s">
        <v>16</v>
      </c>
      <c r="M299" s="4">
        <v>37</v>
      </c>
      <c r="N299" s="4" t="str">
        <f>IF(Bike_Data[[#This Row],[Age]]&gt;=54,"Old",IF(Bike_Data[[#This Row],[Age]]&lt;30,"Young Adult","Middle Age"))</f>
        <v>Middle Age</v>
      </c>
      <c r="O299" s="5">
        <f t="shared" ca="1" si="4"/>
        <v>33646</v>
      </c>
      <c r="P299" s="2" t="s">
        <v>14</v>
      </c>
    </row>
    <row r="300" spans="1:16" x14ac:dyDescent="0.25">
      <c r="A300">
        <v>22464</v>
      </c>
      <c r="B300" s="2" t="s">
        <v>31</v>
      </c>
      <c r="C300" s="2" t="s">
        <v>34</v>
      </c>
      <c r="D300" s="4">
        <v>40000</v>
      </c>
      <c r="E3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0">
        <v>0</v>
      </c>
      <c r="G300" s="2" t="s">
        <v>29</v>
      </c>
      <c r="H300" s="2" t="s">
        <v>19</v>
      </c>
      <c r="I300" t="s">
        <v>14</v>
      </c>
      <c r="J300">
        <v>0</v>
      </c>
      <c r="K300" t="s">
        <v>15</v>
      </c>
      <c r="L300" s="2" t="s">
        <v>16</v>
      </c>
      <c r="M300" s="4">
        <v>37</v>
      </c>
      <c r="N300" s="4" t="str">
        <f>IF(Bike_Data[[#This Row],[Age]]&gt;=54,"Old",IF(Bike_Data[[#This Row],[Age]]&lt;30,"Young Adult","Middle Age"))</f>
        <v>Middle Age</v>
      </c>
      <c r="O300" s="5">
        <f t="shared" ca="1" si="4"/>
        <v>31017</v>
      </c>
      <c r="P300" s="2" t="s">
        <v>14</v>
      </c>
    </row>
    <row r="301" spans="1:16" x14ac:dyDescent="0.25">
      <c r="A301">
        <v>19442</v>
      </c>
      <c r="B301" s="2" t="s">
        <v>32</v>
      </c>
      <c r="C301" s="2" t="s">
        <v>34</v>
      </c>
      <c r="D301" s="4">
        <v>50000</v>
      </c>
      <c r="E3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1">
        <v>0</v>
      </c>
      <c r="G301" s="2" t="s">
        <v>29</v>
      </c>
      <c r="H301" s="2" t="s">
        <v>13</v>
      </c>
      <c r="I301" t="s">
        <v>14</v>
      </c>
      <c r="J301">
        <v>0</v>
      </c>
      <c r="K301" t="s">
        <v>15</v>
      </c>
      <c r="L301" s="2" t="s">
        <v>16</v>
      </c>
      <c r="M301" s="4">
        <v>37</v>
      </c>
      <c r="N301" s="4" t="str">
        <f>IF(Bike_Data[[#This Row],[Age]]&gt;=54,"Old",IF(Bike_Data[[#This Row],[Age]]&lt;30,"Young Adult","Middle Age"))</f>
        <v>Middle Age</v>
      </c>
      <c r="O301" s="5">
        <f t="shared" ca="1" si="4"/>
        <v>25947</v>
      </c>
      <c r="P301" s="2" t="s">
        <v>14</v>
      </c>
    </row>
    <row r="302" spans="1:16" x14ac:dyDescent="0.25">
      <c r="A302">
        <v>12212</v>
      </c>
      <c r="B302" s="2" t="s">
        <v>31</v>
      </c>
      <c r="C302" s="2" t="s">
        <v>33</v>
      </c>
      <c r="D302" s="4">
        <v>10000</v>
      </c>
      <c r="E30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2">
        <v>0</v>
      </c>
      <c r="G302" s="2" t="s">
        <v>29</v>
      </c>
      <c r="H302" s="2" t="s">
        <v>24</v>
      </c>
      <c r="I302" t="s">
        <v>14</v>
      </c>
      <c r="J302">
        <v>0</v>
      </c>
      <c r="K302" t="s">
        <v>15</v>
      </c>
      <c r="L302" s="2" t="s">
        <v>16</v>
      </c>
      <c r="M302" s="4">
        <v>37</v>
      </c>
      <c r="N302" s="4" t="str">
        <f>IF(Bike_Data[[#This Row],[Age]]&gt;=54,"Old",IF(Bike_Data[[#This Row],[Age]]&lt;30,"Young Adult","Middle Age"))</f>
        <v>Middle Age</v>
      </c>
      <c r="O302" s="5">
        <f t="shared" ca="1" si="4"/>
        <v>31223</v>
      </c>
      <c r="P302" s="2" t="s">
        <v>14</v>
      </c>
    </row>
    <row r="303" spans="1:16" x14ac:dyDescent="0.25">
      <c r="A303">
        <v>22633</v>
      </c>
      <c r="B303" s="2" t="s">
        <v>32</v>
      </c>
      <c r="C303" s="2" t="s">
        <v>33</v>
      </c>
      <c r="D303" s="4">
        <v>40000</v>
      </c>
      <c r="E30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3">
        <v>0</v>
      </c>
      <c r="G303" s="2" t="s">
        <v>29</v>
      </c>
      <c r="H303" s="2" t="s">
        <v>19</v>
      </c>
      <c r="I303" t="s">
        <v>14</v>
      </c>
      <c r="J303">
        <v>0</v>
      </c>
      <c r="K303" t="s">
        <v>15</v>
      </c>
      <c r="L303" s="2" t="s">
        <v>16</v>
      </c>
      <c r="M303" s="4">
        <v>37</v>
      </c>
      <c r="N303" s="4" t="str">
        <f>IF(Bike_Data[[#This Row],[Age]]&gt;=54,"Old",IF(Bike_Data[[#This Row],[Age]]&lt;30,"Young Adult","Middle Age"))</f>
        <v>Middle Age</v>
      </c>
      <c r="O303" s="5">
        <f t="shared" ca="1" si="4"/>
        <v>29878</v>
      </c>
      <c r="P303" s="2" t="s">
        <v>14</v>
      </c>
    </row>
    <row r="304" spans="1:16" x14ac:dyDescent="0.25">
      <c r="A304">
        <v>17702</v>
      </c>
      <c r="B304" s="2" t="s">
        <v>31</v>
      </c>
      <c r="C304" s="2" t="s">
        <v>34</v>
      </c>
      <c r="D304" s="4">
        <v>10000</v>
      </c>
      <c r="E30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4">
        <v>1</v>
      </c>
      <c r="G304" s="2" t="s">
        <v>29</v>
      </c>
      <c r="H304" s="2" t="s">
        <v>24</v>
      </c>
      <c r="I304" t="s">
        <v>14</v>
      </c>
      <c r="J304">
        <v>0</v>
      </c>
      <c r="K304" t="s">
        <v>15</v>
      </c>
      <c r="L304" s="2" t="s">
        <v>16</v>
      </c>
      <c r="M304" s="4">
        <v>37</v>
      </c>
      <c r="N304" s="4" t="str">
        <f>IF(Bike_Data[[#This Row],[Age]]&gt;=54,"Old",IF(Bike_Data[[#This Row],[Age]]&lt;30,"Young Adult","Middle Age"))</f>
        <v>Middle Age</v>
      </c>
      <c r="O304" s="5">
        <f t="shared" ca="1" si="4"/>
        <v>27048</v>
      </c>
      <c r="P304" s="2" t="s">
        <v>17</v>
      </c>
    </row>
    <row r="305" spans="1:16" x14ac:dyDescent="0.25">
      <c r="A305">
        <v>23432</v>
      </c>
      <c r="B305" s="2" t="s">
        <v>32</v>
      </c>
      <c r="C305" s="2" t="s">
        <v>34</v>
      </c>
      <c r="D305" s="4">
        <v>70000</v>
      </c>
      <c r="E30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05">
        <v>0</v>
      </c>
      <c r="G305" s="2" t="s">
        <v>12</v>
      </c>
      <c r="H305" s="2" t="s">
        <v>20</v>
      </c>
      <c r="I305" t="s">
        <v>14</v>
      </c>
      <c r="J305">
        <v>1</v>
      </c>
      <c r="K305" t="s">
        <v>22</v>
      </c>
      <c r="L305" s="2" t="s">
        <v>23</v>
      </c>
      <c r="M305" s="4">
        <v>37</v>
      </c>
      <c r="N305" s="4" t="str">
        <f>IF(Bike_Data[[#This Row],[Age]]&gt;=54,"Old",IF(Bike_Data[[#This Row],[Age]]&lt;30,"Young Adult","Middle Age"))</f>
        <v>Middle Age</v>
      </c>
      <c r="O305" s="5">
        <f t="shared" ca="1" si="4"/>
        <v>31821</v>
      </c>
      <c r="P305" s="2" t="s">
        <v>14</v>
      </c>
    </row>
    <row r="306" spans="1:16" x14ac:dyDescent="0.25">
      <c r="A306">
        <v>12705</v>
      </c>
      <c r="B306" s="2" t="s">
        <v>31</v>
      </c>
      <c r="C306" s="2" t="s">
        <v>34</v>
      </c>
      <c r="D306" s="4">
        <v>150000</v>
      </c>
      <c r="E30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306">
        <v>0</v>
      </c>
      <c r="G306" s="2" t="s">
        <v>12</v>
      </c>
      <c r="H306" s="2" t="s">
        <v>27</v>
      </c>
      <c r="I306" t="s">
        <v>14</v>
      </c>
      <c r="J306">
        <v>4</v>
      </c>
      <c r="K306" t="s">
        <v>15</v>
      </c>
      <c r="L306" s="2" t="s">
        <v>23</v>
      </c>
      <c r="M306" s="4">
        <v>37</v>
      </c>
      <c r="N306" s="4" t="str">
        <f>IF(Bike_Data[[#This Row],[Age]]&gt;=54,"Old",IF(Bike_Data[[#This Row],[Age]]&lt;30,"Young Adult","Middle Age"))</f>
        <v>Middle Age</v>
      </c>
      <c r="O306" s="5">
        <f t="shared" ca="1" si="4"/>
        <v>27940</v>
      </c>
      <c r="P306" s="2" t="s">
        <v>14</v>
      </c>
    </row>
    <row r="307" spans="1:16" x14ac:dyDescent="0.25">
      <c r="A307">
        <v>17964</v>
      </c>
      <c r="B307" s="2" t="s">
        <v>31</v>
      </c>
      <c r="C307" s="2" t="s">
        <v>34</v>
      </c>
      <c r="D307" s="4">
        <v>40000</v>
      </c>
      <c r="E30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7">
        <v>0</v>
      </c>
      <c r="G307" s="2" t="s">
        <v>29</v>
      </c>
      <c r="H307" s="2" t="s">
        <v>19</v>
      </c>
      <c r="I307" t="s">
        <v>14</v>
      </c>
      <c r="J307">
        <v>0</v>
      </c>
      <c r="K307" t="s">
        <v>15</v>
      </c>
      <c r="L307" s="2" t="s">
        <v>16</v>
      </c>
      <c r="M307" s="4">
        <v>37</v>
      </c>
      <c r="N307" s="4" t="str">
        <f>IF(Bike_Data[[#This Row],[Age]]&gt;=54,"Old",IF(Bike_Data[[#This Row],[Age]]&lt;30,"Young Adult","Middle Age"))</f>
        <v>Middle Age</v>
      </c>
      <c r="O307" s="5">
        <f t="shared" ca="1" si="4"/>
        <v>32739</v>
      </c>
      <c r="P307" s="2" t="s">
        <v>14</v>
      </c>
    </row>
    <row r="308" spans="1:16" x14ac:dyDescent="0.25">
      <c r="A308">
        <v>21039</v>
      </c>
      <c r="B308" s="2" t="s">
        <v>32</v>
      </c>
      <c r="C308" s="2" t="s">
        <v>33</v>
      </c>
      <c r="D308" s="4">
        <v>50000</v>
      </c>
      <c r="E30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08">
        <v>0</v>
      </c>
      <c r="G308" s="2" t="s">
        <v>29</v>
      </c>
      <c r="H308" s="2" t="s">
        <v>13</v>
      </c>
      <c r="I308" t="s">
        <v>17</v>
      </c>
      <c r="J308">
        <v>0</v>
      </c>
      <c r="K308" t="s">
        <v>15</v>
      </c>
      <c r="L308" s="2" t="s">
        <v>16</v>
      </c>
      <c r="M308" s="4">
        <v>37</v>
      </c>
      <c r="N308" s="4" t="str">
        <f>IF(Bike_Data[[#This Row],[Age]]&gt;=54,"Old",IF(Bike_Data[[#This Row],[Age]]&lt;30,"Young Adult","Middle Age"))</f>
        <v>Middle Age</v>
      </c>
      <c r="O308" s="5">
        <f t="shared" ca="1" si="4"/>
        <v>31193</v>
      </c>
      <c r="P308" s="2" t="s">
        <v>14</v>
      </c>
    </row>
    <row r="309" spans="1:16" x14ac:dyDescent="0.25">
      <c r="A309">
        <v>26654</v>
      </c>
      <c r="B309" s="2" t="s">
        <v>31</v>
      </c>
      <c r="C309" s="2" t="s">
        <v>33</v>
      </c>
      <c r="D309" s="4">
        <v>90000</v>
      </c>
      <c r="E30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09">
        <v>1</v>
      </c>
      <c r="G309" s="2" t="s">
        <v>29</v>
      </c>
      <c r="H309" s="2" t="s">
        <v>27</v>
      </c>
      <c r="I309" t="s">
        <v>14</v>
      </c>
      <c r="J309">
        <v>0</v>
      </c>
      <c r="K309" t="s">
        <v>15</v>
      </c>
      <c r="L309" s="2" t="s">
        <v>23</v>
      </c>
      <c r="M309" s="4">
        <v>37</v>
      </c>
      <c r="N309" s="4" t="str">
        <f>IF(Bike_Data[[#This Row],[Age]]&gt;=54,"Old",IF(Bike_Data[[#This Row],[Age]]&lt;30,"Young Adult","Middle Age"))</f>
        <v>Middle Age</v>
      </c>
      <c r="O309" s="5">
        <f t="shared" ca="1" si="4"/>
        <v>36642</v>
      </c>
      <c r="P309" s="2" t="s">
        <v>14</v>
      </c>
    </row>
    <row r="310" spans="1:16" x14ac:dyDescent="0.25">
      <c r="A310">
        <v>24201</v>
      </c>
      <c r="B310" s="2" t="s">
        <v>31</v>
      </c>
      <c r="C310" s="2" t="s">
        <v>33</v>
      </c>
      <c r="D310" s="4">
        <v>10000</v>
      </c>
      <c r="E31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10">
        <v>2</v>
      </c>
      <c r="G310" s="2" t="s">
        <v>26</v>
      </c>
      <c r="H310" s="2" t="s">
        <v>24</v>
      </c>
      <c r="I310" t="s">
        <v>14</v>
      </c>
      <c r="J310">
        <v>0</v>
      </c>
      <c r="K310" t="s">
        <v>15</v>
      </c>
      <c r="L310" s="2" t="s">
        <v>16</v>
      </c>
      <c r="M310" s="4">
        <v>37</v>
      </c>
      <c r="N310" s="4" t="str">
        <f>IF(Bike_Data[[#This Row],[Age]]&gt;=54,"Old",IF(Bike_Data[[#This Row],[Age]]&lt;30,"Young Adult","Middle Age"))</f>
        <v>Middle Age</v>
      </c>
      <c r="O310" s="5">
        <f t="shared" ca="1" si="4"/>
        <v>30897</v>
      </c>
      <c r="P310" s="2" t="s">
        <v>14</v>
      </c>
    </row>
    <row r="311" spans="1:16" x14ac:dyDescent="0.25">
      <c r="A311">
        <v>12629</v>
      </c>
      <c r="B311" s="2" t="s">
        <v>32</v>
      </c>
      <c r="C311" s="2" t="s">
        <v>34</v>
      </c>
      <c r="D311" s="4">
        <v>20000</v>
      </c>
      <c r="E31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11">
        <v>1</v>
      </c>
      <c r="G311" s="2" t="s">
        <v>18</v>
      </c>
      <c r="H311" s="2" t="s">
        <v>24</v>
      </c>
      <c r="I311" t="s">
        <v>17</v>
      </c>
      <c r="J311">
        <v>0</v>
      </c>
      <c r="K311" t="s">
        <v>15</v>
      </c>
      <c r="L311" s="2" t="s">
        <v>16</v>
      </c>
      <c r="M311" s="4">
        <v>37</v>
      </c>
      <c r="N311" s="4" t="str">
        <f>IF(Bike_Data[[#This Row],[Age]]&gt;=54,"Old",IF(Bike_Data[[#This Row],[Age]]&lt;30,"Young Adult","Middle Age"))</f>
        <v>Middle Age</v>
      </c>
      <c r="O311" s="5">
        <f t="shared" ca="1" si="4"/>
        <v>37611</v>
      </c>
      <c r="P311" s="2" t="s">
        <v>17</v>
      </c>
    </row>
    <row r="312" spans="1:16" x14ac:dyDescent="0.25">
      <c r="A312">
        <v>27760</v>
      </c>
      <c r="B312" s="2" t="s">
        <v>32</v>
      </c>
      <c r="C312" s="2" t="s">
        <v>33</v>
      </c>
      <c r="D312" s="4">
        <v>40000</v>
      </c>
      <c r="E31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12">
        <v>0</v>
      </c>
      <c r="G312" s="2" t="s">
        <v>29</v>
      </c>
      <c r="H312" s="2" t="s">
        <v>19</v>
      </c>
      <c r="I312" t="s">
        <v>17</v>
      </c>
      <c r="J312">
        <v>0</v>
      </c>
      <c r="K312" t="s">
        <v>15</v>
      </c>
      <c r="L312" s="2" t="s">
        <v>16</v>
      </c>
      <c r="M312" s="4">
        <v>37</v>
      </c>
      <c r="N312" s="4" t="str">
        <f>IF(Bike_Data[[#This Row],[Age]]&gt;=54,"Old",IF(Bike_Data[[#This Row],[Age]]&lt;30,"Young Adult","Middle Age"))</f>
        <v>Middle Age</v>
      </c>
      <c r="O312" s="5">
        <f t="shared" ca="1" si="4"/>
        <v>37421</v>
      </c>
      <c r="P312" s="2" t="s">
        <v>14</v>
      </c>
    </row>
    <row r="313" spans="1:16" x14ac:dyDescent="0.25">
      <c r="A313">
        <v>13572</v>
      </c>
      <c r="B313" s="2" t="s">
        <v>32</v>
      </c>
      <c r="C313" s="2" t="s">
        <v>34</v>
      </c>
      <c r="D313" s="4">
        <v>10000</v>
      </c>
      <c r="E31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13">
        <v>3</v>
      </c>
      <c r="G313" s="2" t="s">
        <v>26</v>
      </c>
      <c r="H313" s="2" t="s">
        <v>24</v>
      </c>
      <c r="I313" t="s">
        <v>14</v>
      </c>
      <c r="J313">
        <v>0</v>
      </c>
      <c r="K313" t="s">
        <v>15</v>
      </c>
      <c r="L313" s="2" t="s">
        <v>16</v>
      </c>
      <c r="M313" s="4">
        <v>37</v>
      </c>
      <c r="N313" s="4" t="str">
        <f>IF(Bike_Data[[#This Row],[Age]]&gt;=54,"Old",IF(Bike_Data[[#This Row],[Age]]&lt;30,"Young Adult","Middle Age"))</f>
        <v>Middle Age</v>
      </c>
      <c r="O313" s="5">
        <f t="shared" ca="1" si="4"/>
        <v>30185</v>
      </c>
      <c r="P313" s="2" t="s">
        <v>14</v>
      </c>
    </row>
    <row r="314" spans="1:16" x14ac:dyDescent="0.25">
      <c r="A314">
        <v>17978</v>
      </c>
      <c r="B314" s="2" t="s">
        <v>31</v>
      </c>
      <c r="C314" s="2" t="s">
        <v>34</v>
      </c>
      <c r="D314" s="4">
        <v>40000</v>
      </c>
      <c r="E31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14">
        <v>0</v>
      </c>
      <c r="G314" s="2" t="s">
        <v>29</v>
      </c>
      <c r="H314" s="2" t="s">
        <v>19</v>
      </c>
      <c r="I314" t="s">
        <v>14</v>
      </c>
      <c r="J314">
        <v>0</v>
      </c>
      <c r="K314" t="s">
        <v>15</v>
      </c>
      <c r="L314" s="2" t="s">
        <v>16</v>
      </c>
      <c r="M314" s="4">
        <v>37</v>
      </c>
      <c r="N314" s="4" t="str">
        <f>IF(Bike_Data[[#This Row],[Age]]&gt;=54,"Old",IF(Bike_Data[[#This Row],[Age]]&lt;30,"Young Adult","Middle Age"))</f>
        <v>Middle Age</v>
      </c>
      <c r="O314" s="5">
        <f t="shared" ca="1" si="4"/>
        <v>31940</v>
      </c>
      <c r="P314" s="2" t="s">
        <v>14</v>
      </c>
    </row>
    <row r="315" spans="1:16" x14ac:dyDescent="0.25">
      <c r="A315">
        <v>22439</v>
      </c>
      <c r="B315" s="2" t="s">
        <v>31</v>
      </c>
      <c r="C315" s="2" t="s">
        <v>33</v>
      </c>
      <c r="D315" s="4">
        <v>30000</v>
      </c>
      <c r="E31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15">
        <v>0</v>
      </c>
      <c r="G315" s="2" t="s">
        <v>12</v>
      </c>
      <c r="H315" s="2" t="s">
        <v>19</v>
      </c>
      <c r="I315" t="s">
        <v>14</v>
      </c>
      <c r="J315">
        <v>0</v>
      </c>
      <c r="K315" t="s">
        <v>15</v>
      </c>
      <c r="L315" s="2" t="s">
        <v>16</v>
      </c>
      <c r="M315" s="4">
        <v>37</v>
      </c>
      <c r="N315" s="4" t="str">
        <f>IF(Bike_Data[[#This Row],[Age]]&gt;=54,"Old",IF(Bike_Data[[#This Row],[Age]]&lt;30,"Young Adult","Middle Age"))</f>
        <v>Middle Age</v>
      </c>
      <c r="O315" s="5">
        <f t="shared" ca="1" si="4"/>
        <v>36157</v>
      </c>
      <c r="P315" s="2" t="s">
        <v>14</v>
      </c>
    </row>
    <row r="316" spans="1:16" x14ac:dyDescent="0.25">
      <c r="A316">
        <v>11897</v>
      </c>
      <c r="B316" s="2" t="s">
        <v>32</v>
      </c>
      <c r="C316" s="2" t="s">
        <v>34</v>
      </c>
      <c r="D316" s="4">
        <v>60000</v>
      </c>
      <c r="E31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16">
        <v>2</v>
      </c>
      <c r="G316" s="2" t="s">
        <v>12</v>
      </c>
      <c r="H316" s="2" t="s">
        <v>20</v>
      </c>
      <c r="I316" t="s">
        <v>17</v>
      </c>
      <c r="J316">
        <v>1</v>
      </c>
      <c r="K316" t="s">
        <v>15</v>
      </c>
      <c r="L316" s="2" t="s">
        <v>23</v>
      </c>
      <c r="M316" s="4">
        <v>37</v>
      </c>
      <c r="N316" s="4" t="str">
        <f>IF(Bike_Data[[#This Row],[Age]]&gt;=54,"Old",IF(Bike_Data[[#This Row],[Age]]&lt;30,"Young Adult","Middle Age"))</f>
        <v>Middle Age</v>
      </c>
      <c r="O316" s="5">
        <f t="shared" ca="1" si="4"/>
        <v>29669</v>
      </c>
      <c r="P316" s="2" t="s">
        <v>14</v>
      </c>
    </row>
    <row r="317" spans="1:16" x14ac:dyDescent="0.25">
      <c r="A317">
        <v>18613</v>
      </c>
      <c r="B317" s="2" t="s">
        <v>32</v>
      </c>
      <c r="C317" s="2" t="s">
        <v>34</v>
      </c>
      <c r="D317" s="4">
        <v>70000</v>
      </c>
      <c r="E31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17">
        <v>0</v>
      </c>
      <c r="G317" s="2" t="s">
        <v>12</v>
      </c>
      <c r="H317" s="2" t="s">
        <v>20</v>
      </c>
      <c r="I317" t="s">
        <v>17</v>
      </c>
      <c r="J317">
        <v>1</v>
      </c>
      <c r="K317" t="s">
        <v>21</v>
      </c>
      <c r="L317" s="2" t="s">
        <v>30</v>
      </c>
      <c r="M317" s="4">
        <v>37</v>
      </c>
      <c r="N317" s="4" t="str">
        <f>IF(Bike_Data[[#This Row],[Age]]&gt;=54,"Old",IF(Bike_Data[[#This Row],[Age]]&lt;30,"Young Adult","Middle Age"))</f>
        <v>Middle Age</v>
      </c>
      <c r="O317" s="5">
        <f t="shared" ca="1" si="4"/>
        <v>28600</v>
      </c>
      <c r="P317" s="2" t="s">
        <v>14</v>
      </c>
    </row>
    <row r="318" spans="1:16" x14ac:dyDescent="0.25">
      <c r="A318">
        <v>22294</v>
      </c>
      <c r="B318" s="2" t="s">
        <v>32</v>
      </c>
      <c r="C318" s="2" t="s">
        <v>33</v>
      </c>
      <c r="D318" s="4">
        <v>70000</v>
      </c>
      <c r="E31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18">
        <v>0</v>
      </c>
      <c r="G318" s="2" t="s">
        <v>12</v>
      </c>
      <c r="H318" s="2" t="s">
        <v>20</v>
      </c>
      <c r="I318" t="s">
        <v>17</v>
      </c>
      <c r="J318">
        <v>1</v>
      </c>
      <c r="K318" t="s">
        <v>21</v>
      </c>
      <c r="L318" s="2" t="s">
        <v>30</v>
      </c>
      <c r="M318" s="4">
        <v>37</v>
      </c>
      <c r="N318" s="4" t="str">
        <f>IF(Bike_Data[[#This Row],[Age]]&gt;=54,"Old",IF(Bike_Data[[#This Row],[Age]]&lt;30,"Young Adult","Middle Age"))</f>
        <v>Middle Age</v>
      </c>
      <c r="O318" s="5">
        <f t="shared" ca="1" si="4"/>
        <v>29800</v>
      </c>
      <c r="P318" s="2" t="s">
        <v>14</v>
      </c>
    </row>
    <row r="319" spans="1:16" x14ac:dyDescent="0.25">
      <c r="A319">
        <v>28667</v>
      </c>
      <c r="B319" s="2" t="s">
        <v>32</v>
      </c>
      <c r="C319" s="2" t="s">
        <v>34</v>
      </c>
      <c r="D319" s="4">
        <v>70000</v>
      </c>
      <c r="E31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19">
        <v>2</v>
      </c>
      <c r="G319" s="2" t="s">
        <v>12</v>
      </c>
      <c r="H319" s="2" t="s">
        <v>13</v>
      </c>
      <c r="I319" t="s">
        <v>17</v>
      </c>
      <c r="J319">
        <v>1</v>
      </c>
      <c r="K319" t="s">
        <v>15</v>
      </c>
      <c r="L319" s="2" t="s">
        <v>30</v>
      </c>
      <c r="M319" s="4">
        <v>37</v>
      </c>
      <c r="N319" s="4" t="str">
        <f>IF(Bike_Data[[#This Row],[Age]]&gt;=54,"Old",IF(Bike_Data[[#This Row],[Age]]&lt;30,"Young Adult","Middle Age"))</f>
        <v>Middle Age</v>
      </c>
      <c r="O319" s="5">
        <f t="shared" ca="1" si="4"/>
        <v>35845</v>
      </c>
      <c r="P319" s="2" t="s">
        <v>14</v>
      </c>
    </row>
    <row r="320" spans="1:16" x14ac:dyDescent="0.25">
      <c r="A320">
        <v>27090</v>
      </c>
      <c r="B320" s="2" t="s">
        <v>31</v>
      </c>
      <c r="C320" s="2" t="s">
        <v>33</v>
      </c>
      <c r="D320" s="4">
        <v>60000</v>
      </c>
      <c r="E32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20">
        <v>1</v>
      </c>
      <c r="G320" s="2" t="s">
        <v>29</v>
      </c>
      <c r="H320" s="2" t="s">
        <v>20</v>
      </c>
      <c r="I320" t="s">
        <v>14</v>
      </c>
      <c r="J320">
        <v>0</v>
      </c>
      <c r="K320" t="s">
        <v>21</v>
      </c>
      <c r="L320" s="2" t="s">
        <v>30</v>
      </c>
      <c r="M320" s="4">
        <v>37</v>
      </c>
      <c r="N320" s="4" t="str">
        <f>IF(Bike_Data[[#This Row],[Age]]&gt;=54,"Old",IF(Bike_Data[[#This Row],[Age]]&lt;30,"Young Adult","Middle Age"))</f>
        <v>Middle Age</v>
      </c>
      <c r="O320" s="5">
        <f t="shared" ca="1" si="4"/>
        <v>26038</v>
      </c>
      <c r="P320" s="2" t="s">
        <v>14</v>
      </c>
    </row>
    <row r="321" spans="1:16" x14ac:dyDescent="0.25">
      <c r="A321">
        <v>26341</v>
      </c>
      <c r="B321" s="2" t="s">
        <v>31</v>
      </c>
      <c r="C321" s="2" t="s">
        <v>33</v>
      </c>
      <c r="D321" s="4">
        <v>70000</v>
      </c>
      <c r="E32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21">
        <v>5</v>
      </c>
      <c r="G321" s="2" t="s">
        <v>29</v>
      </c>
      <c r="H321" s="2" t="s">
        <v>20</v>
      </c>
      <c r="I321" t="s">
        <v>14</v>
      </c>
      <c r="J321">
        <v>2</v>
      </c>
      <c r="K321" t="s">
        <v>15</v>
      </c>
      <c r="L321" s="2" t="s">
        <v>30</v>
      </c>
      <c r="M321" s="4">
        <v>37</v>
      </c>
      <c r="N321" s="4" t="str">
        <f>IF(Bike_Data[[#This Row],[Age]]&gt;=54,"Old",IF(Bike_Data[[#This Row],[Age]]&lt;30,"Young Adult","Middle Age"))</f>
        <v>Middle Age</v>
      </c>
      <c r="O321" s="5">
        <f t="shared" ca="1" si="4"/>
        <v>37009</v>
      </c>
      <c r="P321" s="2" t="s">
        <v>17</v>
      </c>
    </row>
    <row r="322" spans="1:16" x14ac:dyDescent="0.25">
      <c r="A322">
        <v>20657</v>
      </c>
      <c r="B322" s="2" t="s">
        <v>32</v>
      </c>
      <c r="C322" s="2" t="s">
        <v>34</v>
      </c>
      <c r="D322" s="4">
        <v>50000</v>
      </c>
      <c r="E32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22">
        <v>2</v>
      </c>
      <c r="G322" s="2" t="s">
        <v>12</v>
      </c>
      <c r="H322" s="2" t="s">
        <v>13</v>
      </c>
      <c r="I322" t="s">
        <v>14</v>
      </c>
      <c r="J322">
        <v>0</v>
      </c>
      <c r="K322" t="s">
        <v>21</v>
      </c>
      <c r="L322" s="2" t="s">
        <v>30</v>
      </c>
      <c r="M322" s="4">
        <v>37</v>
      </c>
      <c r="N322" s="4" t="str">
        <f>IF(Bike_Data[[#This Row],[Age]]&gt;=54,"Old",IF(Bike_Data[[#This Row],[Age]]&lt;30,"Young Adult","Middle Age"))</f>
        <v>Middle Age</v>
      </c>
      <c r="O322" s="5">
        <f t="shared" ca="1" si="4"/>
        <v>29192</v>
      </c>
      <c r="P322" s="2" t="s">
        <v>14</v>
      </c>
    </row>
    <row r="323" spans="1:16" x14ac:dyDescent="0.25">
      <c r="A323">
        <v>29048</v>
      </c>
      <c r="B323" s="2" t="s">
        <v>32</v>
      </c>
      <c r="C323" s="2" t="s">
        <v>34</v>
      </c>
      <c r="D323" s="4">
        <v>110000</v>
      </c>
      <c r="E32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323">
        <v>2</v>
      </c>
      <c r="G323" s="2" t="s">
        <v>12</v>
      </c>
      <c r="H323" s="2" t="s">
        <v>27</v>
      </c>
      <c r="I323" t="s">
        <v>17</v>
      </c>
      <c r="J323">
        <v>3</v>
      </c>
      <c r="K323" t="s">
        <v>15</v>
      </c>
      <c r="L323" s="2" t="s">
        <v>30</v>
      </c>
      <c r="M323" s="4">
        <v>37</v>
      </c>
      <c r="N323" s="4" t="str">
        <f>IF(Bike_Data[[#This Row],[Age]]&gt;=54,"Old",IF(Bike_Data[[#This Row],[Age]]&lt;30,"Young Adult","Middle Age"))</f>
        <v>Middle Age</v>
      </c>
      <c r="O323" s="5">
        <f t="shared" ref="O323:O386" ca="1" si="5">RANDBETWEEN(DATE(1971,1,1), DATE(2003,12,31))</f>
        <v>29759</v>
      </c>
      <c r="P323" s="2" t="s">
        <v>14</v>
      </c>
    </row>
    <row r="324" spans="1:16" x14ac:dyDescent="0.25">
      <c r="A324">
        <v>27540</v>
      </c>
      <c r="B324" s="2" t="s">
        <v>32</v>
      </c>
      <c r="C324" s="2" t="s">
        <v>33</v>
      </c>
      <c r="D324" s="4">
        <v>70000</v>
      </c>
      <c r="E32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24">
        <v>0</v>
      </c>
      <c r="G324" s="2" t="s">
        <v>12</v>
      </c>
      <c r="H324" s="2" t="s">
        <v>20</v>
      </c>
      <c r="I324" t="s">
        <v>17</v>
      </c>
      <c r="J324">
        <v>1</v>
      </c>
      <c r="K324" t="s">
        <v>15</v>
      </c>
      <c r="L324" s="2" t="s">
        <v>30</v>
      </c>
      <c r="M324" s="4">
        <v>37</v>
      </c>
      <c r="N324" s="4" t="str">
        <f>IF(Bike_Data[[#This Row],[Age]]&gt;=54,"Old",IF(Bike_Data[[#This Row],[Age]]&lt;30,"Young Adult","Middle Age"))</f>
        <v>Middle Age</v>
      </c>
      <c r="O324" s="5">
        <f t="shared" ca="1" si="5"/>
        <v>31067</v>
      </c>
      <c r="P324" s="2" t="s">
        <v>14</v>
      </c>
    </row>
    <row r="325" spans="1:16" x14ac:dyDescent="0.25">
      <c r="A325">
        <v>23882</v>
      </c>
      <c r="B325" s="2" t="s">
        <v>32</v>
      </c>
      <c r="C325" s="2" t="s">
        <v>33</v>
      </c>
      <c r="D325" s="4">
        <v>80000</v>
      </c>
      <c r="E32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25">
        <v>3</v>
      </c>
      <c r="G325" s="2" t="s">
        <v>29</v>
      </c>
      <c r="H325" s="2" t="s">
        <v>20</v>
      </c>
      <c r="I325" t="s">
        <v>14</v>
      </c>
      <c r="J325">
        <v>0</v>
      </c>
      <c r="K325" t="s">
        <v>15</v>
      </c>
      <c r="L325" s="2" t="s">
        <v>30</v>
      </c>
      <c r="M325" s="4">
        <v>37</v>
      </c>
      <c r="N325" s="4" t="str">
        <f>IF(Bike_Data[[#This Row],[Age]]&gt;=54,"Old",IF(Bike_Data[[#This Row],[Age]]&lt;30,"Young Adult","Middle Age"))</f>
        <v>Middle Age</v>
      </c>
      <c r="O325" s="5">
        <f t="shared" ca="1" si="5"/>
        <v>37359</v>
      </c>
      <c r="P325" s="2" t="s">
        <v>14</v>
      </c>
    </row>
    <row r="326" spans="1:16" x14ac:dyDescent="0.25">
      <c r="A326">
        <v>28066</v>
      </c>
      <c r="B326" s="2" t="s">
        <v>31</v>
      </c>
      <c r="C326" s="2" t="s">
        <v>34</v>
      </c>
      <c r="D326" s="4">
        <v>80000</v>
      </c>
      <c r="E32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26">
        <v>2</v>
      </c>
      <c r="G326" s="2" t="s">
        <v>29</v>
      </c>
      <c r="H326" s="2" t="s">
        <v>20</v>
      </c>
      <c r="I326" t="s">
        <v>14</v>
      </c>
      <c r="J326">
        <v>0</v>
      </c>
      <c r="K326" t="s">
        <v>15</v>
      </c>
      <c r="L326" s="2" t="s">
        <v>30</v>
      </c>
      <c r="M326" s="4">
        <v>37</v>
      </c>
      <c r="N326" s="4" t="str">
        <f>IF(Bike_Data[[#This Row],[Age]]&gt;=54,"Old",IF(Bike_Data[[#This Row],[Age]]&lt;30,"Young Adult","Middle Age"))</f>
        <v>Middle Age</v>
      </c>
      <c r="O326" s="5">
        <f t="shared" ca="1" si="5"/>
        <v>35527</v>
      </c>
      <c r="P326" s="2" t="s">
        <v>14</v>
      </c>
    </row>
    <row r="327" spans="1:16" x14ac:dyDescent="0.25">
      <c r="A327">
        <v>20870</v>
      </c>
      <c r="B327" s="2" t="s">
        <v>32</v>
      </c>
      <c r="C327" s="2" t="s">
        <v>33</v>
      </c>
      <c r="D327" s="4">
        <v>10000</v>
      </c>
      <c r="E32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27">
        <v>2</v>
      </c>
      <c r="G327" s="2" t="s">
        <v>26</v>
      </c>
      <c r="H327" s="2" t="s">
        <v>24</v>
      </c>
      <c r="I327" t="s">
        <v>14</v>
      </c>
      <c r="J327">
        <v>1</v>
      </c>
      <c r="K327" t="s">
        <v>15</v>
      </c>
      <c r="L327" s="2" t="s">
        <v>16</v>
      </c>
      <c r="M327" s="4">
        <v>38</v>
      </c>
      <c r="N327" s="4" t="str">
        <f>IF(Bike_Data[[#This Row],[Age]]&gt;=54,"Old",IF(Bike_Data[[#This Row],[Age]]&lt;30,"Young Adult","Middle Age"))</f>
        <v>Middle Age</v>
      </c>
      <c r="O327" s="5">
        <f t="shared" ca="1" si="5"/>
        <v>37799</v>
      </c>
      <c r="P327" s="2" t="s">
        <v>14</v>
      </c>
    </row>
    <row r="328" spans="1:16" x14ac:dyDescent="0.25">
      <c r="A328">
        <v>12808</v>
      </c>
      <c r="B328" s="2" t="s">
        <v>31</v>
      </c>
      <c r="C328" s="2" t="s">
        <v>34</v>
      </c>
      <c r="D328" s="4">
        <v>40000</v>
      </c>
      <c r="E32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28">
        <v>0</v>
      </c>
      <c r="G328" s="2" t="s">
        <v>12</v>
      </c>
      <c r="H328" s="2" t="s">
        <v>19</v>
      </c>
      <c r="I328" t="s">
        <v>14</v>
      </c>
      <c r="J328">
        <v>0</v>
      </c>
      <c r="K328" t="s">
        <v>15</v>
      </c>
      <c r="L328" s="2" t="s">
        <v>16</v>
      </c>
      <c r="M328" s="4">
        <v>38</v>
      </c>
      <c r="N328" s="4" t="str">
        <f>IF(Bike_Data[[#This Row],[Age]]&gt;=54,"Old",IF(Bike_Data[[#This Row],[Age]]&lt;30,"Young Adult","Middle Age"))</f>
        <v>Middle Age</v>
      </c>
      <c r="O328" s="5">
        <f t="shared" ca="1" si="5"/>
        <v>36354</v>
      </c>
      <c r="P328" s="2" t="s">
        <v>14</v>
      </c>
    </row>
    <row r="329" spans="1:16" x14ac:dyDescent="0.25">
      <c r="A329">
        <v>15580</v>
      </c>
      <c r="B329" s="2" t="s">
        <v>31</v>
      </c>
      <c r="C329" s="2" t="s">
        <v>34</v>
      </c>
      <c r="D329" s="4">
        <v>60000</v>
      </c>
      <c r="E32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29">
        <v>2</v>
      </c>
      <c r="G329" s="2" t="s">
        <v>12</v>
      </c>
      <c r="H329" s="2" t="s">
        <v>20</v>
      </c>
      <c r="I329" t="s">
        <v>14</v>
      </c>
      <c r="J329">
        <v>1</v>
      </c>
      <c r="K329" t="s">
        <v>21</v>
      </c>
      <c r="L329" s="2" t="s">
        <v>23</v>
      </c>
      <c r="M329" s="4">
        <v>38</v>
      </c>
      <c r="N329" s="4" t="str">
        <f>IF(Bike_Data[[#This Row],[Age]]&gt;=54,"Old",IF(Bike_Data[[#This Row],[Age]]&lt;30,"Young Adult","Middle Age"))</f>
        <v>Middle Age</v>
      </c>
      <c r="O329" s="5">
        <f t="shared" ca="1" si="5"/>
        <v>37048</v>
      </c>
      <c r="P329" s="2" t="s">
        <v>14</v>
      </c>
    </row>
    <row r="330" spans="1:16" x14ac:dyDescent="0.25">
      <c r="A330">
        <v>26829</v>
      </c>
      <c r="B330" s="2" t="s">
        <v>31</v>
      </c>
      <c r="C330" s="2" t="s">
        <v>33</v>
      </c>
      <c r="D330" s="4">
        <v>40000</v>
      </c>
      <c r="E3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0">
        <v>0</v>
      </c>
      <c r="G330" s="2" t="s">
        <v>12</v>
      </c>
      <c r="H330" s="2" t="s">
        <v>19</v>
      </c>
      <c r="I330" t="s">
        <v>14</v>
      </c>
      <c r="J330">
        <v>0</v>
      </c>
      <c r="K330" t="s">
        <v>15</v>
      </c>
      <c r="L330" s="2" t="s">
        <v>16</v>
      </c>
      <c r="M330" s="4">
        <v>38</v>
      </c>
      <c r="N330" s="4" t="str">
        <f>IF(Bike_Data[[#This Row],[Age]]&gt;=54,"Old",IF(Bike_Data[[#This Row],[Age]]&lt;30,"Young Adult","Middle Age"))</f>
        <v>Middle Age</v>
      </c>
      <c r="O330" s="5">
        <f t="shared" ca="1" si="5"/>
        <v>26932</v>
      </c>
      <c r="P330" s="2" t="s">
        <v>14</v>
      </c>
    </row>
    <row r="331" spans="1:16" x14ac:dyDescent="0.25">
      <c r="A331">
        <v>14682</v>
      </c>
      <c r="B331" s="2" t="s">
        <v>32</v>
      </c>
      <c r="C331" s="2" t="s">
        <v>33</v>
      </c>
      <c r="D331" s="4">
        <v>70000</v>
      </c>
      <c r="E33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31">
        <v>0</v>
      </c>
      <c r="G331" s="2" t="s">
        <v>12</v>
      </c>
      <c r="H331" s="2" t="s">
        <v>20</v>
      </c>
      <c r="I331" t="s">
        <v>17</v>
      </c>
      <c r="J331">
        <v>1</v>
      </c>
      <c r="K331" t="s">
        <v>22</v>
      </c>
      <c r="L331" s="2" t="s">
        <v>23</v>
      </c>
      <c r="M331" s="4">
        <v>38</v>
      </c>
      <c r="N331" s="4" t="str">
        <f>IF(Bike_Data[[#This Row],[Age]]&gt;=54,"Old",IF(Bike_Data[[#This Row],[Age]]&lt;30,"Young Adult","Middle Age"))</f>
        <v>Middle Age</v>
      </c>
      <c r="O331" s="5">
        <f t="shared" ca="1" si="5"/>
        <v>31403</v>
      </c>
      <c r="P331" s="2" t="s">
        <v>17</v>
      </c>
    </row>
    <row r="332" spans="1:16" x14ac:dyDescent="0.25">
      <c r="A332">
        <v>27775</v>
      </c>
      <c r="B332" s="2" t="s">
        <v>32</v>
      </c>
      <c r="C332" s="2" t="s">
        <v>33</v>
      </c>
      <c r="D332" s="4">
        <v>40000</v>
      </c>
      <c r="E33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2">
        <v>0</v>
      </c>
      <c r="G332" s="2" t="s">
        <v>12</v>
      </c>
      <c r="H332" s="2" t="s">
        <v>19</v>
      </c>
      <c r="I332" t="s">
        <v>17</v>
      </c>
      <c r="J332">
        <v>0</v>
      </c>
      <c r="K332" t="s">
        <v>15</v>
      </c>
      <c r="L332" s="2" t="s">
        <v>16</v>
      </c>
      <c r="M332" s="4">
        <v>38</v>
      </c>
      <c r="N332" s="4" t="str">
        <f>IF(Bike_Data[[#This Row],[Age]]&gt;=54,"Old",IF(Bike_Data[[#This Row],[Age]]&lt;30,"Young Adult","Middle Age"))</f>
        <v>Middle Age</v>
      </c>
      <c r="O332" s="5">
        <f t="shared" ca="1" si="5"/>
        <v>27688</v>
      </c>
      <c r="P332" s="2" t="s">
        <v>14</v>
      </c>
    </row>
    <row r="333" spans="1:16" x14ac:dyDescent="0.25">
      <c r="A333">
        <v>29181</v>
      </c>
      <c r="B333" s="2" t="s">
        <v>32</v>
      </c>
      <c r="C333" s="2" t="s">
        <v>33</v>
      </c>
      <c r="D333" s="4">
        <v>60000</v>
      </c>
      <c r="E33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33">
        <v>2</v>
      </c>
      <c r="G333" s="2" t="s">
        <v>12</v>
      </c>
      <c r="H333" s="2" t="s">
        <v>20</v>
      </c>
      <c r="I333" t="s">
        <v>17</v>
      </c>
      <c r="J333">
        <v>1</v>
      </c>
      <c r="K333" t="s">
        <v>15</v>
      </c>
      <c r="L333" s="2" t="s">
        <v>23</v>
      </c>
      <c r="M333" s="4">
        <v>38</v>
      </c>
      <c r="N333" s="4" t="str">
        <f>IF(Bike_Data[[#This Row],[Age]]&gt;=54,"Old",IF(Bike_Data[[#This Row],[Age]]&lt;30,"Young Adult","Middle Age"))</f>
        <v>Middle Age</v>
      </c>
      <c r="O333" s="5">
        <f t="shared" ca="1" si="5"/>
        <v>29803</v>
      </c>
      <c r="P333" s="2" t="s">
        <v>14</v>
      </c>
    </row>
    <row r="334" spans="1:16" x14ac:dyDescent="0.25">
      <c r="A334">
        <v>19445</v>
      </c>
      <c r="B334" s="2" t="s">
        <v>31</v>
      </c>
      <c r="C334" s="2" t="s">
        <v>33</v>
      </c>
      <c r="D334" s="4">
        <v>10000</v>
      </c>
      <c r="E33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4">
        <v>2</v>
      </c>
      <c r="G334" s="2" t="s">
        <v>26</v>
      </c>
      <c r="H334" s="2" t="s">
        <v>24</v>
      </c>
      <c r="I334" t="s">
        <v>17</v>
      </c>
      <c r="J334">
        <v>1</v>
      </c>
      <c r="K334" t="s">
        <v>15</v>
      </c>
      <c r="L334" s="2" t="s">
        <v>16</v>
      </c>
      <c r="M334" s="4">
        <v>38</v>
      </c>
      <c r="N334" s="4" t="str">
        <f>IF(Bike_Data[[#This Row],[Age]]&gt;=54,"Old",IF(Bike_Data[[#This Row],[Age]]&lt;30,"Young Adult","Middle Age"))</f>
        <v>Middle Age</v>
      </c>
      <c r="O334" s="5">
        <f t="shared" ca="1" si="5"/>
        <v>36450</v>
      </c>
      <c r="P334" s="2" t="s">
        <v>17</v>
      </c>
    </row>
    <row r="335" spans="1:16" x14ac:dyDescent="0.25">
      <c r="A335">
        <v>14777</v>
      </c>
      <c r="B335" s="2" t="s">
        <v>31</v>
      </c>
      <c r="C335" s="2" t="s">
        <v>33</v>
      </c>
      <c r="D335" s="4">
        <v>40000</v>
      </c>
      <c r="E33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5">
        <v>0</v>
      </c>
      <c r="G335" s="2" t="s">
        <v>12</v>
      </c>
      <c r="H335" s="2" t="s">
        <v>19</v>
      </c>
      <c r="I335" t="s">
        <v>14</v>
      </c>
      <c r="J335">
        <v>0</v>
      </c>
      <c r="K335" t="s">
        <v>15</v>
      </c>
      <c r="L335" s="2" t="s">
        <v>16</v>
      </c>
      <c r="M335" s="4">
        <v>38</v>
      </c>
      <c r="N335" s="4" t="str">
        <f>IF(Bike_Data[[#This Row],[Age]]&gt;=54,"Old",IF(Bike_Data[[#This Row],[Age]]&lt;30,"Young Adult","Middle Age"))</f>
        <v>Middle Age</v>
      </c>
      <c r="O335" s="5">
        <f t="shared" ca="1" si="5"/>
        <v>28441</v>
      </c>
      <c r="P335" s="2" t="s">
        <v>14</v>
      </c>
    </row>
    <row r="336" spans="1:16" x14ac:dyDescent="0.25">
      <c r="A336">
        <v>16390</v>
      </c>
      <c r="B336" s="2" t="s">
        <v>32</v>
      </c>
      <c r="C336" s="2" t="s">
        <v>34</v>
      </c>
      <c r="D336" s="4">
        <v>30000</v>
      </c>
      <c r="E33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6">
        <v>1</v>
      </c>
      <c r="G336" s="2" t="s">
        <v>12</v>
      </c>
      <c r="H336" s="2" t="s">
        <v>19</v>
      </c>
      <c r="I336" t="s">
        <v>17</v>
      </c>
      <c r="J336">
        <v>0</v>
      </c>
      <c r="K336" t="s">
        <v>15</v>
      </c>
      <c r="L336" s="2" t="s">
        <v>16</v>
      </c>
      <c r="M336" s="4">
        <v>38</v>
      </c>
      <c r="N336" s="4" t="str">
        <f>IF(Bike_Data[[#This Row],[Age]]&gt;=54,"Old",IF(Bike_Data[[#This Row],[Age]]&lt;30,"Young Adult","Middle Age"))</f>
        <v>Middle Age</v>
      </c>
      <c r="O336" s="5">
        <f t="shared" ca="1" si="5"/>
        <v>25940</v>
      </c>
      <c r="P336" s="2" t="s">
        <v>14</v>
      </c>
    </row>
    <row r="337" spans="1:16" x14ac:dyDescent="0.25">
      <c r="A337">
        <v>16406</v>
      </c>
      <c r="B337" s="2" t="s">
        <v>31</v>
      </c>
      <c r="C337" s="2" t="s">
        <v>34</v>
      </c>
      <c r="D337" s="4">
        <v>40000</v>
      </c>
      <c r="E33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7">
        <v>0</v>
      </c>
      <c r="G337" s="2" t="s">
        <v>12</v>
      </c>
      <c r="H337" s="2" t="s">
        <v>19</v>
      </c>
      <c r="I337" t="s">
        <v>17</v>
      </c>
      <c r="J337">
        <v>0</v>
      </c>
      <c r="K337" t="s">
        <v>15</v>
      </c>
      <c r="L337" s="2" t="s">
        <v>16</v>
      </c>
      <c r="M337" s="4">
        <v>38</v>
      </c>
      <c r="N337" s="4" t="str">
        <f>IF(Bike_Data[[#This Row],[Age]]&gt;=54,"Old",IF(Bike_Data[[#This Row],[Age]]&lt;30,"Young Adult","Middle Age"))</f>
        <v>Middle Age</v>
      </c>
      <c r="O337" s="5">
        <f t="shared" ca="1" si="5"/>
        <v>32041</v>
      </c>
      <c r="P337" s="2" t="s">
        <v>14</v>
      </c>
    </row>
    <row r="338" spans="1:16" x14ac:dyDescent="0.25">
      <c r="A338">
        <v>22930</v>
      </c>
      <c r="B338" s="2" t="s">
        <v>31</v>
      </c>
      <c r="C338" s="2" t="s">
        <v>34</v>
      </c>
      <c r="D338" s="4">
        <v>90000</v>
      </c>
      <c r="E33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38">
        <v>4</v>
      </c>
      <c r="G338" s="2" t="s">
        <v>12</v>
      </c>
      <c r="H338" s="2" t="s">
        <v>20</v>
      </c>
      <c r="I338" t="s">
        <v>14</v>
      </c>
      <c r="J338">
        <v>0</v>
      </c>
      <c r="K338" t="s">
        <v>25</v>
      </c>
      <c r="L338" s="2" t="s">
        <v>23</v>
      </c>
      <c r="M338" s="4">
        <v>38</v>
      </c>
      <c r="N338" s="4" t="str">
        <f>IF(Bike_Data[[#This Row],[Age]]&gt;=54,"Old",IF(Bike_Data[[#This Row],[Age]]&lt;30,"Young Adult","Middle Age"))</f>
        <v>Middle Age</v>
      </c>
      <c r="O338" s="5">
        <f t="shared" ca="1" si="5"/>
        <v>35408</v>
      </c>
      <c r="P338" s="2" t="s">
        <v>14</v>
      </c>
    </row>
    <row r="339" spans="1:16" x14ac:dyDescent="0.25">
      <c r="A339">
        <v>26354</v>
      </c>
      <c r="B339" s="2" t="s">
        <v>32</v>
      </c>
      <c r="C339" s="2" t="s">
        <v>34</v>
      </c>
      <c r="D339" s="4">
        <v>40000</v>
      </c>
      <c r="E33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39">
        <v>0</v>
      </c>
      <c r="G339" s="2" t="s">
        <v>29</v>
      </c>
      <c r="H339" s="2" t="s">
        <v>19</v>
      </c>
      <c r="I339" t="s">
        <v>17</v>
      </c>
      <c r="J339">
        <v>0</v>
      </c>
      <c r="K339" t="s">
        <v>15</v>
      </c>
      <c r="L339" s="2" t="s">
        <v>16</v>
      </c>
      <c r="M339" s="4">
        <v>38</v>
      </c>
      <c r="N339" s="4" t="str">
        <f>IF(Bike_Data[[#This Row],[Age]]&gt;=54,"Old",IF(Bike_Data[[#This Row],[Age]]&lt;30,"Young Adult","Middle Age"))</f>
        <v>Middle Age</v>
      </c>
      <c r="O339" s="5">
        <f t="shared" ca="1" si="5"/>
        <v>34745</v>
      </c>
      <c r="P339" s="2" t="s">
        <v>14</v>
      </c>
    </row>
    <row r="340" spans="1:16" x14ac:dyDescent="0.25">
      <c r="A340">
        <v>19305</v>
      </c>
      <c r="B340" s="2" t="s">
        <v>32</v>
      </c>
      <c r="C340" s="2" t="s">
        <v>33</v>
      </c>
      <c r="D340" s="4">
        <v>10000</v>
      </c>
      <c r="E34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40">
        <v>2</v>
      </c>
      <c r="G340" s="2" t="s">
        <v>26</v>
      </c>
      <c r="H340" s="2" t="s">
        <v>24</v>
      </c>
      <c r="I340" t="s">
        <v>14</v>
      </c>
      <c r="J340">
        <v>1</v>
      </c>
      <c r="K340" t="s">
        <v>15</v>
      </c>
      <c r="L340" s="2" t="s">
        <v>16</v>
      </c>
      <c r="M340" s="4">
        <v>38</v>
      </c>
      <c r="N340" s="4" t="str">
        <f>IF(Bike_Data[[#This Row],[Age]]&gt;=54,"Old",IF(Bike_Data[[#This Row],[Age]]&lt;30,"Young Adult","Middle Age"))</f>
        <v>Middle Age</v>
      </c>
      <c r="O340" s="5">
        <f t="shared" ca="1" si="5"/>
        <v>26632</v>
      </c>
      <c r="P340" s="2" t="s">
        <v>14</v>
      </c>
    </row>
    <row r="341" spans="1:16" x14ac:dyDescent="0.25">
      <c r="A341">
        <v>22636</v>
      </c>
      <c r="B341" s="2" t="s">
        <v>32</v>
      </c>
      <c r="C341" s="2" t="s">
        <v>33</v>
      </c>
      <c r="D341" s="4">
        <v>40000</v>
      </c>
      <c r="E34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41">
        <v>0</v>
      </c>
      <c r="G341" s="2" t="s">
        <v>12</v>
      </c>
      <c r="H341" s="2" t="s">
        <v>19</v>
      </c>
      <c r="I341" t="s">
        <v>17</v>
      </c>
      <c r="J341">
        <v>0</v>
      </c>
      <c r="K341" t="s">
        <v>15</v>
      </c>
      <c r="L341" s="2" t="s">
        <v>16</v>
      </c>
      <c r="M341" s="4">
        <v>38</v>
      </c>
      <c r="N341" s="4" t="str">
        <f>IF(Bike_Data[[#This Row],[Age]]&gt;=54,"Old",IF(Bike_Data[[#This Row],[Age]]&lt;30,"Young Adult","Middle Age"))</f>
        <v>Middle Age</v>
      </c>
      <c r="O341" s="5">
        <f t="shared" ca="1" si="5"/>
        <v>34341</v>
      </c>
      <c r="P341" s="2" t="s">
        <v>14</v>
      </c>
    </row>
    <row r="342" spans="1:16" x14ac:dyDescent="0.25">
      <c r="A342">
        <v>16179</v>
      </c>
      <c r="B342" s="2" t="s">
        <v>32</v>
      </c>
      <c r="C342" s="2" t="s">
        <v>33</v>
      </c>
      <c r="D342" s="4">
        <v>80000</v>
      </c>
      <c r="E34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42">
        <v>5</v>
      </c>
      <c r="G342" s="2" t="s">
        <v>12</v>
      </c>
      <c r="H342" s="2" t="s">
        <v>20</v>
      </c>
      <c r="I342" t="s">
        <v>14</v>
      </c>
      <c r="J342">
        <v>4</v>
      </c>
      <c r="K342" t="s">
        <v>25</v>
      </c>
      <c r="L342" s="2" t="s">
        <v>23</v>
      </c>
      <c r="M342" s="4">
        <v>38</v>
      </c>
      <c r="N342" s="4" t="str">
        <f>IF(Bike_Data[[#This Row],[Age]]&gt;=54,"Old",IF(Bike_Data[[#This Row],[Age]]&lt;30,"Young Adult","Middle Age"))</f>
        <v>Middle Age</v>
      </c>
      <c r="O342" s="5">
        <f t="shared" ca="1" si="5"/>
        <v>29899</v>
      </c>
      <c r="P342" s="2" t="s">
        <v>17</v>
      </c>
    </row>
    <row r="343" spans="1:16" x14ac:dyDescent="0.25">
      <c r="A343">
        <v>21184</v>
      </c>
      <c r="B343" s="2" t="s">
        <v>32</v>
      </c>
      <c r="C343" s="2" t="s">
        <v>34</v>
      </c>
      <c r="D343" s="4">
        <v>70000</v>
      </c>
      <c r="E34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43">
        <v>0</v>
      </c>
      <c r="G343" s="2" t="s">
        <v>12</v>
      </c>
      <c r="H343" s="2" t="s">
        <v>20</v>
      </c>
      <c r="I343" t="s">
        <v>17</v>
      </c>
      <c r="J343">
        <v>1</v>
      </c>
      <c r="K343" t="s">
        <v>22</v>
      </c>
      <c r="L343" s="2" t="s">
        <v>23</v>
      </c>
      <c r="M343" s="4">
        <v>38</v>
      </c>
      <c r="N343" s="4" t="str">
        <f>IF(Bike_Data[[#This Row],[Age]]&gt;=54,"Old",IF(Bike_Data[[#This Row],[Age]]&lt;30,"Young Adult","Middle Age"))</f>
        <v>Middle Age</v>
      </c>
      <c r="O343" s="5">
        <f t="shared" ca="1" si="5"/>
        <v>31886</v>
      </c>
      <c r="P343" s="2" t="s">
        <v>17</v>
      </c>
    </row>
    <row r="344" spans="1:16" x14ac:dyDescent="0.25">
      <c r="A344">
        <v>17793</v>
      </c>
      <c r="B344" s="2" t="s">
        <v>31</v>
      </c>
      <c r="C344" s="2" t="s">
        <v>33</v>
      </c>
      <c r="D344" s="4">
        <v>40000</v>
      </c>
      <c r="E34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44">
        <v>0</v>
      </c>
      <c r="G344" s="2" t="s">
        <v>12</v>
      </c>
      <c r="H344" s="2" t="s">
        <v>19</v>
      </c>
      <c r="I344" t="s">
        <v>14</v>
      </c>
      <c r="J344">
        <v>0</v>
      </c>
      <c r="K344" t="s">
        <v>15</v>
      </c>
      <c r="L344" s="2" t="s">
        <v>16</v>
      </c>
      <c r="M344" s="4">
        <v>38</v>
      </c>
      <c r="N344" s="4" t="str">
        <f>IF(Bike_Data[[#This Row],[Age]]&gt;=54,"Old",IF(Bike_Data[[#This Row],[Age]]&lt;30,"Young Adult","Middle Age"))</f>
        <v>Middle Age</v>
      </c>
      <c r="O344" s="5">
        <f t="shared" ca="1" si="5"/>
        <v>27211</v>
      </c>
      <c r="P344" s="2" t="s">
        <v>14</v>
      </c>
    </row>
    <row r="345" spans="1:16" x14ac:dyDescent="0.25">
      <c r="A345">
        <v>14926</v>
      </c>
      <c r="B345" s="2" t="s">
        <v>31</v>
      </c>
      <c r="C345" s="2" t="s">
        <v>34</v>
      </c>
      <c r="D345" s="4">
        <v>30000</v>
      </c>
      <c r="E34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45">
        <v>1</v>
      </c>
      <c r="G345" s="2" t="s">
        <v>12</v>
      </c>
      <c r="H345" s="2" t="s">
        <v>19</v>
      </c>
      <c r="I345" t="s">
        <v>14</v>
      </c>
      <c r="J345">
        <v>0</v>
      </c>
      <c r="K345" t="s">
        <v>15</v>
      </c>
      <c r="L345" s="2" t="s">
        <v>16</v>
      </c>
      <c r="M345" s="4">
        <v>38</v>
      </c>
      <c r="N345" s="4" t="str">
        <f>IF(Bike_Data[[#This Row],[Age]]&gt;=54,"Old",IF(Bike_Data[[#This Row],[Age]]&lt;30,"Young Adult","Middle Age"))</f>
        <v>Middle Age</v>
      </c>
      <c r="O345" s="5">
        <f t="shared" ca="1" si="5"/>
        <v>37244</v>
      </c>
      <c r="P345" s="2" t="s">
        <v>14</v>
      </c>
    </row>
    <row r="346" spans="1:16" x14ac:dyDescent="0.25">
      <c r="A346">
        <v>16163</v>
      </c>
      <c r="B346" s="2" t="s">
        <v>32</v>
      </c>
      <c r="C346" s="2" t="s">
        <v>34</v>
      </c>
      <c r="D346" s="4">
        <v>60000</v>
      </c>
      <c r="E34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46">
        <v>2</v>
      </c>
      <c r="G346" s="2" t="s">
        <v>12</v>
      </c>
      <c r="H346" s="2" t="s">
        <v>20</v>
      </c>
      <c r="I346" t="s">
        <v>14</v>
      </c>
      <c r="J346">
        <v>1</v>
      </c>
      <c r="K346" t="s">
        <v>21</v>
      </c>
      <c r="L346" s="2" t="s">
        <v>23</v>
      </c>
      <c r="M346" s="4">
        <v>38</v>
      </c>
      <c r="N346" s="4" t="str">
        <f>IF(Bike_Data[[#This Row],[Age]]&gt;=54,"Old",IF(Bike_Data[[#This Row],[Age]]&lt;30,"Young Adult","Middle Age"))</f>
        <v>Middle Age</v>
      </c>
      <c r="O346" s="5">
        <f t="shared" ca="1" si="5"/>
        <v>37885</v>
      </c>
      <c r="P346" s="2" t="s">
        <v>14</v>
      </c>
    </row>
    <row r="347" spans="1:16" x14ac:dyDescent="0.25">
      <c r="A347">
        <v>22634</v>
      </c>
      <c r="B347" s="2" t="s">
        <v>32</v>
      </c>
      <c r="C347" s="2" t="s">
        <v>33</v>
      </c>
      <c r="D347" s="4">
        <v>40000</v>
      </c>
      <c r="E34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47">
        <v>0</v>
      </c>
      <c r="G347" s="2" t="s">
        <v>29</v>
      </c>
      <c r="H347" s="2" t="s">
        <v>19</v>
      </c>
      <c r="I347" t="s">
        <v>14</v>
      </c>
      <c r="J347">
        <v>0</v>
      </c>
      <c r="K347" t="s">
        <v>15</v>
      </c>
      <c r="L347" s="2" t="s">
        <v>16</v>
      </c>
      <c r="M347" s="4">
        <v>38</v>
      </c>
      <c r="N347" s="4" t="str">
        <f>IF(Bike_Data[[#This Row],[Age]]&gt;=54,"Old",IF(Bike_Data[[#This Row],[Age]]&lt;30,"Young Adult","Middle Age"))</f>
        <v>Middle Age</v>
      </c>
      <c r="O347" s="5">
        <f t="shared" ca="1" si="5"/>
        <v>31050</v>
      </c>
      <c r="P347" s="2" t="s">
        <v>14</v>
      </c>
    </row>
    <row r="348" spans="1:16" x14ac:dyDescent="0.25">
      <c r="A348">
        <v>25405</v>
      </c>
      <c r="B348" s="2" t="s">
        <v>31</v>
      </c>
      <c r="C348" s="2" t="s">
        <v>34</v>
      </c>
      <c r="D348" s="4">
        <v>70000</v>
      </c>
      <c r="E34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48">
        <v>2</v>
      </c>
      <c r="G348" s="2" t="s">
        <v>12</v>
      </c>
      <c r="H348" s="2" t="s">
        <v>13</v>
      </c>
      <c r="I348" t="s">
        <v>14</v>
      </c>
      <c r="J348">
        <v>1</v>
      </c>
      <c r="K348" t="s">
        <v>21</v>
      </c>
      <c r="L348" s="2" t="s">
        <v>30</v>
      </c>
      <c r="M348" s="4">
        <v>38</v>
      </c>
      <c r="N348" s="4" t="str">
        <f>IF(Bike_Data[[#This Row],[Age]]&gt;=54,"Old",IF(Bike_Data[[#This Row],[Age]]&lt;30,"Young Adult","Middle Age"))</f>
        <v>Middle Age</v>
      </c>
      <c r="O348" s="5">
        <f t="shared" ca="1" si="5"/>
        <v>28972</v>
      </c>
      <c r="P348" s="2" t="s">
        <v>14</v>
      </c>
    </row>
    <row r="349" spans="1:16" x14ac:dyDescent="0.25">
      <c r="A349">
        <v>16917</v>
      </c>
      <c r="B349" s="2" t="s">
        <v>31</v>
      </c>
      <c r="C349" s="2" t="s">
        <v>34</v>
      </c>
      <c r="D349" s="4">
        <v>120000</v>
      </c>
      <c r="E34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349">
        <v>1</v>
      </c>
      <c r="G349" s="2" t="s">
        <v>12</v>
      </c>
      <c r="H349" s="2" t="s">
        <v>27</v>
      </c>
      <c r="I349" t="s">
        <v>14</v>
      </c>
      <c r="J349">
        <v>4</v>
      </c>
      <c r="K349" t="s">
        <v>15</v>
      </c>
      <c r="L349" s="2" t="s">
        <v>30</v>
      </c>
      <c r="M349" s="4">
        <v>38</v>
      </c>
      <c r="N349" s="4" t="str">
        <f>IF(Bike_Data[[#This Row],[Age]]&gt;=54,"Old",IF(Bike_Data[[#This Row],[Age]]&lt;30,"Young Adult","Middle Age"))</f>
        <v>Middle Age</v>
      </c>
      <c r="O349" s="5">
        <f t="shared" ca="1" si="5"/>
        <v>27857</v>
      </c>
      <c r="P349" s="2" t="s">
        <v>17</v>
      </c>
    </row>
    <row r="350" spans="1:16" x14ac:dyDescent="0.25">
      <c r="A350">
        <v>19164</v>
      </c>
      <c r="B350" s="2" t="s">
        <v>32</v>
      </c>
      <c r="C350" s="2" t="s">
        <v>33</v>
      </c>
      <c r="D350" s="4">
        <v>70000</v>
      </c>
      <c r="E35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0">
        <v>0</v>
      </c>
      <c r="G350" s="2" t="s">
        <v>12</v>
      </c>
      <c r="H350" s="2" t="s">
        <v>20</v>
      </c>
      <c r="I350" t="s">
        <v>17</v>
      </c>
      <c r="J350">
        <v>1</v>
      </c>
      <c r="K350" t="s">
        <v>21</v>
      </c>
      <c r="L350" s="2" t="s">
        <v>30</v>
      </c>
      <c r="M350" s="4">
        <v>38</v>
      </c>
      <c r="N350" s="4" t="str">
        <f>IF(Bike_Data[[#This Row],[Age]]&gt;=54,"Old",IF(Bike_Data[[#This Row],[Age]]&lt;30,"Young Adult","Middle Age"))</f>
        <v>Middle Age</v>
      </c>
      <c r="O350" s="5">
        <f t="shared" ca="1" si="5"/>
        <v>25965</v>
      </c>
      <c r="P350" s="2" t="s">
        <v>14</v>
      </c>
    </row>
    <row r="351" spans="1:16" x14ac:dyDescent="0.25">
      <c r="A351">
        <v>19133</v>
      </c>
      <c r="B351" s="2" t="s">
        <v>32</v>
      </c>
      <c r="C351" s="2" t="s">
        <v>34</v>
      </c>
      <c r="D351" s="4">
        <v>50000</v>
      </c>
      <c r="E35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51">
        <v>2</v>
      </c>
      <c r="G351" s="2" t="s">
        <v>12</v>
      </c>
      <c r="H351" s="2" t="s">
        <v>13</v>
      </c>
      <c r="I351" t="s">
        <v>14</v>
      </c>
      <c r="J351">
        <v>1</v>
      </c>
      <c r="K351" t="s">
        <v>21</v>
      </c>
      <c r="L351" s="2" t="s">
        <v>30</v>
      </c>
      <c r="M351" s="4">
        <v>38</v>
      </c>
      <c r="N351" s="4" t="str">
        <f>IF(Bike_Data[[#This Row],[Age]]&gt;=54,"Old",IF(Bike_Data[[#This Row],[Age]]&lt;30,"Young Adult","Middle Age"))</f>
        <v>Middle Age</v>
      </c>
      <c r="O351" s="5">
        <f t="shared" ca="1" si="5"/>
        <v>37164</v>
      </c>
      <c r="P351" s="2" t="s">
        <v>14</v>
      </c>
    </row>
    <row r="352" spans="1:16" x14ac:dyDescent="0.25">
      <c r="A352">
        <v>11669</v>
      </c>
      <c r="B352" s="2" t="s">
        <v>32</v>
      </c>
      <c r="C352" s="2" t="s">
        <v>33</v>
      </c>
      <c r="D352" s="4">
        <v>70000</v>
      </c>
      <c r="E35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2">
        <v>2</v>
      </c>
      <c r="G352" s="2" t="s">
        <v>12</v>
      </c>
      <c r="H352" s="2" t="s">
        <v>13</v>
      </c>
      <c r="I352" t="s">
        <v>14</v>
      </c>
      <c r="J352">
        <v>1</v>
      </c>
      <c r="K352" t="s">
        <v>21</v>
      </c>
      <c r="L352" s="2" t="s">
        <v>30</v>
      </c>
      <c r="M352" s="4">
        <v>38</v>
      </c>
      <c r="N352" s="4" t="str">
        <f>IF(Bike_Data[[#This Row],[Age]]&gt;=54,"Old",IF(Bike_Data[[#This Row],[Age]]&lt;30,"Young Adult","Middle Age"))</f>
        <v>Middle Age</v>
      </c>
      <c r="O352" s="5">
        <f t="shared" ca="1" si="5"/>
        <v>32174</v>
      </c>
      <c r="P352" s="2" t="s">
        <v>17</v>
      </c>
    </row>
    <row r="353" spans="1:16" x14ac:dyDescent="0.25">
      <c r="A353">
        <v>19661</v>
      </c>
      <c r="B353" s="2" t="s">
        <v>32</v>
      </c>
      <c r="C353" s="2" t="s">
        <v>34</v>
      </c>
      <c r="D353" s="4">
        <v>90000</v>
      </c>
      <c r="E35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3">
        <v>4</v>
      </c>
      <c r="G353" s="2" t="s">
        <v>12</v>
      </c>
      <c r="H353" s="2" t="s">
        <v>27</v>
      </c>
      <c r="I353" t="s">
        <v>14</v>
      </c>
      <c r="J353">
        <v>1</v>
      </c>
      <c r="K353" t="s">
        <v>25</v>
      </c>
      <c r="L353" s="2" t="s">
        <v>30</v>
      </c>
      <c r="M353" s="4">
        <v>38</v>
      </c>
      <c r="N353" s="4" t="str">
        <f>IF(Bike_Data[[#This Row],[Age]]&gt;=54,"Old",IF(Bike_Data[[#This Row],[Age]]&lt;30,"Young Adult","Middle Age"))</f>
        <v>Middle Age</v>
      </c>
      <c r="O353" s="5">
        <f t="shared" ca="1" si="5"/>
        <v>36901</v>
      </c>
      <c r="P353" s="2" t="s">
        <v>14</v>
      </c>
    </row>
    <row r="354" spans="1:16" x14ac:dyDescent="0.25">
      <c r="A354">
        <v>26625</v>
      </c>
      <c r="B354" s="2" t="s">
        <v>32</v>
      </c>
      <c r="C354" s="2" t="s">
        <v>33</v>
      </c>
      <c r="D354" s="4">
        <v>60000</v>
      </c>
      <c r="E35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4">
        <v>0</v>
      </c>
      <c r="G354" s="2" t="s">
        <v>29</v>
      </c>
      <c r="H354" s="2" t="s">
        <v>20</v>
      </c>
      <c r="I354" t="s">
        <v>14</v>
      </c>
      <c r="J354">
        <v>1</v>
      </c>
      <c r="K354" t="s">
        <v>21</v>
      </c>
      <c r="L354" s="2" t="s">
        <v>30</v>
      </c>
      <c r="M354" s="4">
        <v>38</v>
      </c>
      <c r="N354" s="4" t="str">
        <f>IF(Bike_Data[[#This Row],[Age]]&gt;=54,"Old",IF(Bike_Data[[#This Row],[Age]]&lt;30,"Young Adult","Middle Age"))</f>
        <v>Middle Age</v>
      </c>
      <c r="O354" s="5">
        <f t="shared" ca="1" si="5"/>
        <v>29617</v>
      </c>
      <c r="P354" s="2" t="s">
        <v>14</v>
      </c>
    </row>
    <row r="355" spans="1:16" x14ac:dyDescent="0.25">
      <c r="A355">
        <v>13176</v>
      </c>
      <c r="B355" s="2" t="s">
        <v>32</v>
      </c>
      <c r="C355" s="2" t="s">
        <v>34</v>
      </c>
      <c r="D355" s="4">
        <v>130000</v>
      </c>
      <c r="E35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355">
        <v>0</v>
      </c>
      <c r="G355" s="2" t="s">
        <v>29</v>
      </c>
      <c r="H355" s="2" t="s">
        <v>27</v>
      </c>
      <c r="I355" t="s">
        <v>17</v>
      </c>
      <c r="J355">
        <v>2</v>
      </c>
      <c r="K355" t="s">
        <v>15</v>
      </c>
      <c r="L355" s="2" t="s">
        <v>30</v>
      </c>
      <c r="M355" s="4">
        <v>38</v>
      </c>
      <c r="N355" s="4" t="str">
        <f>IF(Bike_Data[[#This Row],[Age]]&gt;=54,"Old",IF(Bike_Data[[#This Row],[Age]]&lt;30,"Young Adult","Middle Age"))</f>
        <v>Middle Age</v>
      </c>
      <c r="O355" s="5">
        <f t="shared" ca="1" si="5"/>
        <v>31486</v>
      </c>
      <c r="P355" s="2" t="s">
        <v>14</v>
      </c>
    </row>
    <row r="356" spans="1:16" x14ac:dyDescent="0.25">
      <c r="A356">
        <v>18783</v>
      </c>
      <c r="B356" s="2" t="s">
        <v>32</v>
      </c>
      <c r="C356" s="2" t="s">
        <v>34</v>
      </c>
      <c r="D356" s="4">
        <v>80000</v>
      </c>
      <c r="E35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6">
        <v>0</v>
      </c>
      <c r="G356" s="2" t="s">
        <v>12</v>
      </c>
      <c r="H356" s="2" t="s">
        <v>27</v>
      </c>
      <c r="I356" t="s">
        <v>17</v>
      </c>
      <c r="J356">
        <v>1</v>
      </c>
      <c r="K356" t="s">
        <v>15</v>
      </c>
      <c r="L356" s="2" t="s">
        <v>30</v>
      </c>
      <c r="M356" s="4">
        <v>38</v>
      </c>
      <c r="N356" s="4" t="str">
        <f>IF(Bike_Data[[#This Row],[Age]]&gt;=54,"Old",IF(Bike_Data[[#This Row],[Age]]&lt;30,"Young Adult","Middle Age"))</f>
        <v>Middle Age</v>
      </c>
      <c r="O356" s="5">
        <f t="shared" ca="1" si="5"/>
        <v>34282</v>
      </c>
      <c r="P356" s="2" t="s">
        <v>14</v>
      </c>
    </row>
    <row r="357" spans="1:16" x14ac:dyDescent="0.25">
      <c r="A357">
        <v>22046</v>
      </c>
      <c r="B357" s="2" t="s">
        <v>32</v>
      </c>
      <c r="C357" s="2" t="s">
        <v>33</v>
      </c>
      <c r="D357" s="4">
        <v>80000</v>
      </c>
      <c r="E35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7">
        <v>0</v>
      </c>
      <c r="G357" s="2" t="s">
        <v>12</v>
      </c>
      <c r="H357" s="2" t="s">
        <v>27</v>
      </c>
      <c r="I357" t="s">
        <v>17</v>
      </c>
      <c r="J357">
        <v>1</v>
      </c>
      <c r="K357" t="s">
        <v>15</v>
      </c>
      <c r="L357" s="2" t="s">
        <v>30</v>
      </c>
      <c r="M357" s="4">
        <v>38</v>
      </c>
      <c r="N357" s="4" t="str">
        <f>IF(Bike_Data[[#This Row],[Age]]&gt;=54,"Old",IF(Bike_Data[[#This Row],[Age]]&lt;30,"Young Adult","Middle Age"))</f>
        <v>Middle Age</v>
      </c>
      <c r="O357" s="5">
        <f t="shared" ca="1" si="5"/>
        <v>31734</v>
      </c>
      <c r="P357" s="2" t="s">
        <v>14</v>
      </c>
    </row>
    <row r="358" spans="1:16" x14ac:dyDescent="0.25">
      <c r="A358">
        <v>27279</v>
      </c>
      <c r="B358" s="2" t="s">
        <v>32</v>
      </c>
      <c r="C358" s="2" t="s">
        <v>33</v>
      </c>
      <c r="D358" s="4">
        <v>70000</v>
      </c>
      <c r="E35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8">
        <v>2</v>
      </c>
      <c r="G358" s="2" t="s">
        <v>12</v>
      </c>
      <c r="H358" s="2" t="s">
        <v>13</v>
      </c>
      <c r="I358" t="s">
        <v>14</v>
      </c>
      <c r="J358">
        <v>0</v>
      </c>
      <c r="K358" t="s">
        <v>21</v>
      </c>
      <c r="L358" s="2" t="s">
        <v>30</v>
      </c>
      <c r="M358" s="4">
        <v>38</v>
      </c>
      <c r="N358" s="4" t="str">
        <f>IF(Bike_Data[[#This Row],[Age]]&gt;=54,"Old",IF(Bike_Data[[#This Row],[Age]]&lt;30,"Young Adult","Middle Age"))</f>
        <v>Middle Age</v>
      </c>
      <c r="O358" s="5">
        <f t="shared" ca="1" si="5"/>
        <v>29218</v>
      </c>
      <c r="P358" s="2" t="s">
        <v>14</v>
      </c>
    </row>
    <row r="359" spans="1:16" x14ac:dyDescent="0.25">
      <c r="A359">
        <v>22050</v>
      </c>
      <c r="B359" s="2" t="s">
        <v>32</v>
      </c>
      <c r="C359" s="2" t="s">
        <v>34</v>
      </c>
      <c r="D359" s="4">
        <v>90000</v>
      </c>
      <c r="E35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59">
        <v>4</v>
      </c>
      <c r="G359" s="2" t="s">
        <v>12</v>
      </c>
      <c r="H359" s="2" t="s">
        <v>27</v>
      </c>
      <c r="I359" t="s">
        <v>14</v>
      </c>
      <c r="J359">
        <v>1</v>
      </c>
      <c r="K359" t="s">
        <v>25</v>
      </c>
      <c r="L359" s="2" t="s">
        <v>30</v>
      </c>
      <c r="M359" s="4">
        <v>38</v>
      </c>
      <c r="N359" s="4" t="str">
        <f>IF(Bike_Data[[#This Row],[Age]]&gt;=54,"Old",IF(Bike_Data[[#This Row],[Age]]&lt;30,"Young Adult","Middle Age"))</f>
        <v>Middle Age</v>
      </c>
      <c r="O359" s="5">
        <f t="shared" ca="1" si="5"/>
        <v>29385</v>
      </c>
      <c r="P359" s="2" t="s">
        <v>14</v>
      </c>
    </row>
    <row r="360" spans="1:16" x14ac:dyDescent="0.25">
      <c r="A360">
        <v>25419</v>
      </c>
      <c r="B360" s="2" t="s">
        <v>32</v>
      </c>
      <c r="C360" s="2" t="s">
        <v>34</v>
      </c>
      <c r="D360" s="4">
        <v>50000</v>
      </c>
      <c r="E36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60">
        <v>2</v>
      </c>
      <c r="G360" s="2" t="s">
        <v>12</v>
      </c>
      <c r="H360" s="2" t="s">
        <v>13</v>
      </c>
      <c r="I360" t="s">
        <v>17</v>
      </c>
      <c r="J360">
        <v>1</v>
      </c>
      <c r="K360" t="s">
        <v>15</v>
      </c>
      <c r="L360" s="2" t="s">
        <v>30</v>
      </c>
      <c r="M360" s="4">
        <v>38</v>
      </c>
      <c r="N360" s="4" t="str">
        <f>IF(Bike_Data[[#This Row],[Age]]&gt;=54,"Old",IF(Bike_Data[[#This Row],[Age]]&lt;30,"Young Adult","Middle Age"))</f>
        <v>Middle Age</v>
      </c>
      <c r="O360" s="5">
        <f t="shared" ca="1" si="5"/>
        <v>30854</v>
      </c>
      <c r="P360" s="2" t="s">
        <v>14</v>
      </c>
    </row>
    <row r="361" spans="1:16" x14ac:dyDescent="0.25">
      <c r="A361">
        <v>22296</v>
      </c>
      <c r="B361" s="2" t="s">
        <v>31</v>
      </c>
      <c r="C361" s="2" t="s">
        <v>34</v>
      </c>
      <c r="D361" s="4">
        <v>70000</v>
      </c>
      <c r="E36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61">
        <v>0</v>
      </c>
      <c r="G361" s="2" t="s">
        <v>12</v>
      </c>
      <c r="H361" s="2" t="s">
        <v>20</v>
      </c>
      <c r="I361" t="s">
        <v>17</v>
      </c>
      <c r="J361">
        <v>1</v>
      </c>
      <c r="K361" t="s">
        <v>15</v>
      </c>
      <c r="L361" s="2" t="s">
        <v>30</v>
      </c>
      <c r="M361" s="4">
        <v>38</v>
      </c>
      <c r="N361" s="4" t="str">
        <f>IF(Bike_Data[[#This Row],[Age]]&gt;=54,"Old",IF(Bike_Data[[#This Row],[Age]]&lt;30,"Young Adult","Middle Age"))</f>
        <v>Middle Age</v>
      </c>
      <c r="O361" s="5">
        <f t="shared" ca="1" si="5"/>
        <v>29351</v>
      </c>
      <c r="P361" s="2" t="s">
        <v>17</v>
      </c>
    </row>
    <row r="362" spans="1:16" x14ac:dyDescent="0.25">
      <c r="A362">
        <v>11809</v>
      </c>
      <c r="B362" s="2" t="s">
        <v>31</v>
      </c>
      <c r="C362" s="2" t="s">
        <v>34</v>
      </c>
      <c r="D362" s="4">
        <v>60000</v>
      </c>
      <c r="E36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62">
        <v>2</v>
      </c>
      <c r="G362" s="2" t="s">
        <v>12</v>
      </c>
      <c r="H362" s="2" t="s">
        <v>13</v>
      </c>
      <c r="I362" t="s">
        <v>14</v>
      </c>
      <c r="J362">
        <v>0</v>
      </c>
      <c r="K362" t="s">
        <v>15</v>
      </c>
      <c r="L362" s="2" t="s">
        <v>30</v>
      </c>
      <c r="M362" s="4">
        <v>38</v>
      </c>
      <c r="N362" s="4" t="str">
        <f>IF(Bike_Data[[#This Row],[Age]]&gt;=54,"Old",IF(Bike_Data[[#This Row],[Age]]&lt;30,"Young Adult","Middle Age"))</f>
        <v>Middle Age</v>
      </c>
      <c r="O362" s="5">
        <f t="shared" ca="1" si="5"/>
        <v>34980</v>
      </c>
      <c r="P362" s="2" t="s">
        <v>14</v>
      </c>
    </row>
    <row r="363" spans="1:16" x14ac:dyDescent="0.25">
      <c r="A363">
        <v>19664</v>
      </c>
      <c r="B363" s="2" t="s">
        <v>32</v>
      </c>
      <c r="C363" s="2" t="s">
        <v>34</v>
      </c>
      <c r="D363" s="4">
        <v>100000</v>
      </c>
      <c r="E36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63">
        <v>3</v>
      </c>
      <c r="G363" s="2" t="s">
        <v>12</v>
      </c>
      <c r="H363" s="2" t="s">
        <v>27</v>
      </c>
      <c r="I363" t="s">
        <v>17</v>
      </c>
      <c r="J363">
        <v>3</v>
      </c>
      <c r="K363" t="s">
        <v>25</v>
      </c>
      <c r="L363" s="2" t="s">
        <v>30</v>
      </c>
      <c r="M363" s="4">
        <v>38</v>
      </c>
      <c r="N363" s="4" t="str">
        <f>IF(Bike_Data[[#This Row],[Age]]&gt;=54,"Old",IF(Bike_Data[[#This Row],[Age]]&lt;30,"Young Adult","Middle Age"))</f>
        <v>Middle Age</v>
      </c>
      <c r="O363" s="5">
        <f t="shared" ca="1" si="5"/>
        <v>35088</v>
      </c>
      <c r="P363" s="2" t="s">
        <v>17</v>
      </c>
    </row>
    <row r="364" spans="1:16" x14ac:dyDescent="0.25">
      <c r="A364">
        <v>14939</v>
      </c>
      <c r="B364" s="2" t="s">
        <v>32</v>
      </c>
      <c r="C364" s="2" t="s">
        <v>34</v>
      </c>
      <c r="D364" s="4">
        <v>40000</v>
      </c>
      <c r="E36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64">
        <v>0</v>
      </c>
      <c r="G364" s="2" t="s">
        <v>12</v>
      </c>
      <c r="H364" s="2" t="s">
        <v>19</v>
      </c>
      <c r="I364" t="s">
        <v>14</v>
      </c>
      <c r="J364">
        <v>0</v>
      </c>
      <c r="K364" t="s">
        <v>15</v>
      </c>
      <c r="L364" s="2" t="s">
        <v>16</v>
      </c>
      <c r="M364" s="4">
        <v>39</v>
      </c>
      <c r="N364" s="4" t="str">
        <f>IF(Bike_Data[[#This Row],[Age]]&gt;=54,"Old",IF(Bike_Data[[#This Row],[Age]]&lt;30,"Young Adult","Middle Age"))</f>
        <v>Middle Age</v>
      </c>
      <c r="O364" s="5">
        <f t="shared" ca="1" si="5"/>
        <v>29941</v>
      </c>
      <c r="P364" s="2" t="s">
        <v>14</v>
      </c>
    </row>
    <row r="365" spans="1:16" x14ac:dyDescent="0.25">
      <c r="A365">
        <v>28395</v>
      </c>
      <c r="B365" s="2" t="s">
        <v>32</v>
      </c>
      <c r="C365" s="2" t="s">
        <v>34</v>
      </c>
      <c r="D365" s="4">
        <v>40000</v>
      </c>
      <c r="E36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65">
        <v>0</v>
      </c>
      <c r="G365" s="2" t="s">
        <v>12</v>
      </c>
      <c r="H365" s="2" t="s">
        <v>20</v>
      </c>
      <c r="I365" t="s">
        <v>17</v>
      </c>
      <c r="J365">
        <v>0</v>
      </c>
      <c r="K365" t="s">
        <v>15</v>
      </c>
      <c r="L365" s="2" t="s">
        <v>16</v>
      </c>
      <c r="M365" s="4">
        <v>39</v>
      </c>
      <c r="N365" s="4" t="str">
        <f>IF(Bike_Data[[#This Row],[Age]]&gt;=54,"Old",IF(Bike_Data[[#This Row],[Age]]&lt;30,"Young Adult","Middle Age"))</f>
        <v>Middle Age</v>
      </c>
      <c r="O365" s="5">
        <f t="shared" ca="1" si="5"/>
        <v>33040</v>
      </c>
      <c r="P365" s="2" t="s">
        <v>14</v>
      </c>
    </row>
    <row r="366" spans="1:16" x14ac:dyDescent="0.25">
      <c r="A366">
        <v>12472</v>
      </c>
      <c r="B366" s="2" t="s">
        <v>31</v>
      </c>
      <c r="C366" s="2" t="s">
        <v>34</v>
      </c>
      <c r="D366" s="4">
        <v>30000</v>
      </c>
      <c r="E3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66">
        <v>1</v>
      </c>
      <c r="G366" s="2" t="s">
        <v>12</v>
      </c>
      <c r="H366" s="2" t="s">
        <v>19</v>
      </c>
      <c r="I366" t="s">
        <v>14</v>
      </c>
      <c r="J366">
        <v>1</v>
      </c>
      <c r="K366" t="s">
        <v>21</v>
      </c>
      <c r="L366" s="2" t="s">
        <v>16</v>
      </c>
      <c r="M366" s="4">
        <v>39</v>
      </c>
      <c r="N366" s="4" t="str">
        <f>IF(Bike_Data[[#This Row],[Age]]&gt;=54,"Old",IF(Bike_Data[[#This Row],[Age]]&lt;30,"Young Adult","Middle Age"))</f>
        <v>Middle Age</v>
      </c>
      <c r="O366" s="5">
        <f t="shared" ca="1" si="5"/>
        <v>35090</v>
      </c>
      <c r="P366" s="2" t="s">
        <v>17</v>
      </c>
    </row>
    <row r="367" spans="1:16" x14ac:dyDescent="0.25">
      <c r="A367">
        <v>26818</v>
      </c>
      <c r="B367" s="2" t="s">
        <v>32</v>
      </c>
      <c r="C367" s="2" t="s">
        <v>34</v>
      </c>
      <c r="D367" s="4">
        <v>10000</v>
      </c>
      <c r="E3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67">
        <v>3</v>
      </c>
      <c r="G367" s="2" t="s">
        <v>26</v>
      </c>
      <c r="H367" s="2" t="s">
        <v>24</v>
      </c>
      <c r="I367" t="s">
        <v>14</v>
      </c>
      <c r="J367">
        <v>1</v>
      </c>
      <c r="K367" t="s">
        <v>15</v>
      </c>
      <c r="L367" s="2" t="s">
        <v>16</v>
      </c>
      <c r="M367" s="4">
        <v>39</v>
      </c>
      <c r="N367" s="4" t="str">
        <f>IF(Bike_Data[[#This Row],[Age]]&gt;=54,"Old",IF(Bike_Data[[#This Row],[Age]]&lt;30,"Young Adult","Middle Age"))</f>
        <v>Middle Age</v>
      </c>
      <c r="O367" s="5">
        <f t="shared" ca="1" si="5"/>
        <v>31281</v>
      </c>
      <c r="P367" s="2" t="s">
        <v>14</v>
      </c>
    </row>
    <row r="368" spans="1:16" x14ac:dyDescent="0.25">
      <c r="A368">
        <v>15214</v>
      </c>
      <c r="B368" s="2" t="s">
        <v>32</v>
      </c>
      <c r="C368" s="2" t="s">
        <v>33</v>
      </c>
      <c r="D368" s="4">
        <v>100000</v>
      </c>
      <c r="E36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68">
        <v>0</v>
      </c>
      <c r="G368" s="2" t="s">
        <v>29</v>
      </c>
      <c r="H368" s="2" t="s">
        <v>27</v>
      </c>
      <c r="I368" t="s">
        <v>17</v>
      </c>
      <c r="J368">
        <v>1</v>
      </c>
      <c r="K368" t="s">
        <v>25</v>
      </c>
      <c r="L368" s="2" t="s">
        <v>23</v>
      </c>
      <c r="M368" s="4">
        <v>39</v>
      </c>
      <c r="N368" s="4" t="str">
        <f>IF(Bike_Data[[#This Row],[Age]]&gt;=54,"Old",IF(Bike_Data[[#This Row],[Age]]&lt;30,"Young Adult","Middle Age"))</f>
        <v>Middle Age</v>
      </c>
      <c r="O368" s="5">
        <f t="shared" ca="1" si="5"/>
        <v>26153</v>
      </c>
      <c r="P368" s="2" t="s">
        <v>14</v>
      </c>
    </row>
    <row r="369" spans="1:16" x14ac:dyDescent="0.25">
      <c r="A369">
        <v>18711</v>
      </c>
      <c r="B369" s="2" t="s">
        <v>32</v>
      </c>
      <c r="C369" s="2" t="s">
        <v>33</v>
      </c>
      <c r="D369" s="4">
        <v>70000</v>
      </c>
      <c r="E36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69">
        <v>5</v>
      </c>
      <c r="G369" s="2" t="s">
        <v>12</v>
      </c>
      <c r="H369" s="2" t="s">
        <v>20</v>
      </c>
      <c r="I369" t="s">
        <v>14</v>
      </c>
      <c r="J369">
        <v>4</v>
      </c>
      <c r="K369" t="s">
        <v>37</v>
      </c>
      <c r="L369" s="2" t="s">
        <v>23</v>
      </c>
      <c r="M369" s="4">
        <v>39</v>
      </c>
      <c r="N369" s="4" t="str">
        <f>IF(Bike_Data[[#This Row],[Age]]&gt;=54,"Old",IF(Bike_Data[[#This Row],[Age]]&lt;30,"Young Adult","Middle Age"))</f>
        <v>Middle Age</v>
      </c>
      <c r="O369" s="5">
        <f t="shared" ca="1" si="5"/>
        <v>35428</v>
      </c>
      <c r="P369" s="2" t="s">
        <v>17</v>
      </c>
    </row>
    <row r="370" spans="1:16" x14ac:dyDescent="0.25">
      <c r="A370">
        <v>23908</v>
      </c>
      <c r="B370" s="2" t="s">
        <v>32</v>
      </c>
      <c r="C370" s="2" t="s">
        <v>34</v>
      </c>
      <c r="D370" s="4">
        <v>30000</v>
      </c>
      <c r="E37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0">
        <v>1</v>
      </c>
      <c r="G370" s="2" t="s">
        <v>12</v>
      </c>
      <c r="H370" s="2" t="s">
        <v>19</v>
      </c>
      <c r="I370" t="s">
        <v>17</v>
      </c>
      <c r="J370">
        <v>1</v>
      </c>
      <c r="K370" t="s">
        <v>15</v>
      </c>
      <c r="L370" s="2" t="s">
        <v>16</v>
      </c>
      <c r="M370" s="4">
        <v>39</v>
      </c>
      <c r="N370" s="4" t="str">
        <f>IF(Bike_Data[[#This Row],[Age]]&gt;=54,"Old",IF(Bike_Data[[#This Row],[Age]]&lt;30,"Young Adult","Middle Age"))</f>
        <v>Middle Age</v>
      </c>
      <c r="O370" s="5">
        <f t="shared" ca="1" si="5"/>
        <v>30341</v>
      </c>
      <c r="P370" s="2" t="s">
        <v>14</v>
      </c>
    </row>
    <row r="371" spans="1:16" x14ac:dyDescent="0.25">
      <c r="A371">
        <v>23419</v>
      </c>
      <c r="B371" s="2" t="s">
        <v>32</v>
      </c>
      <c r="C371" s="2" t="s">
        <v>33</v>
      </c>
      <c r="D371" s="4">
        <v>70000</v>
      </c>
      <c r="E37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71">
        <v>5</v>
      </c>
      <c r="G371" s="2" t="s">
        <v>12</v>
      </c>
      <c r="H371" s="2" t="s">
        <v>20</v>
      </c>
      <c r="I371" t="s">
        <v>14</v>
      </c>
      <c r="J371">
        <v>3</v>
      </c>
      <c r="K371" t="s">
        <v>37</v>
      </c>
      <c r="L371" s="2" t="s">
        <v>23</v>
      </c>
      <c r="M371" s="4">
        <v>39</v>
      </c>
      <c r="N371" s="4" t="str">
        <f>IF(Bike_Data[[#This Row],[Age]]&gt;=54,"Old",IF(Bike_Data[[#This Row],[Age]]&lt;30,"Young Adult","Middle Age"))</f>
        <v>Middle Age</v>
      </c>
      <c r="O371" s="5">
        <f t="shared" ca="1" si="5"/>
        <v>26242</v>
      </c>
      <c r="P371" s="2" t="s">
        <v>17</v>
      </c>
    </row>
    <row r="372" spans="1:16" x14ac:dyDescent="0.25">
      <c r="A372">
        <v>26663</v>
      </c>
      <c r="B372" s="2" t="s">
        <v>32</v>
      </c>
      <c r="C372" s="2" t="s">
        <v>33</v>
      </c>
      <c r="D372" s="4">
        <v>60000</v>
      </c>
      <c r="E3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72">
        <v>2</v>
      </c>
      <c r="G372" s="2" t="s">
        <v>12</v>
      </c>
      <c r="H372" s="2" t="s">
        <v>20</v>
      </c>
      <c r="I372" t="s">
        <v>17</v>
      </c>
      <c r="J372">
        <v>1</v>
      </c>
      <c r="K372" t="s">
        <v>15</v>
      </c>
      <c r="L372" s="2" t="s">
        <v>23</v>
      </c>
      <c r="M372" s="4">
        <v>39</v>
      </c>
      <c r="N372" s="4" t="str">
        <f>IF(Bike_Data[[#This Row],[Age]]&gt;=54,"Old",IF(Bike_Data[[#This Row],[Age]]&lt;30,"Young Adult","Middle Age"))</f>
        <v>Middle Age</v>
      </c>
      <c r="O372" s="5">
        <f t="shared" ca="1" si="5"/>
        <v>34744</v>
      </c>
      <c r="P372" s="2" t="s">
        <v>14</v>
      </c>
    </row>
    <row r="373" spans="1:16" x14ac:dyDescent="0.25">
      <c r="A373">
        <v>24369</v>
      </c>
      <c r="B373" s="2" t="s">
        <v>31</v>
      </c>
      <c r="C373" s="2" t="s">
        <v>34</v>
      </c>
      <c r="D373" s="4">
        <v>80000</v>
      </c>
      <c r="E37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73">
        <v>5</v>
      </c>
      <c r="G373" s="2" t="s">
        <v>29</v>
      </c>
      <c r="H373" s="2" t="s">
        <v>27</v>
      </c>
      <c r="I373" t="s">
        <v>17</v>
      </c>
      <c r="J373">
        <v>2</v>
      </c>
      <c r="K373" t="s">
        <v>15</v>
      </c>
      <c r="L373" s="2" t="s">
        <v>23</v>
      </c>
      <c r="M373" s="4">
        <v>39</v>
      </c>
      <c r="N373" s="4" t="str">
        <f>IF(Bike_Data[[#This Row],[Age]]&gt;=54,"Old",IF(Bike_Data[[#This Row],[Age]]&lt;30,"Young Adult","Middle Age"))</f>
        <v>Middle Age</v>
      </c>
      <c r="O373" s="5">
        <f t="shared" ca="1" si="5"/>
        <v>30465</v>
      </c>
      <c r="P373" s="2" t="s">
        <v>17</v>
      </c>
    </row>
    <row r="374" spans="1:16" x14ac:dyDescent="0.25">
      <c r="A374">
        <v>14785</v>
      </c>
      <c r="B374" s="2" t="s">
        <v>32</v>
      </c>
      <c r="C374" s="2" t="s">
        <v>34</v>
      </c>
      <c r="D374" s="4">
        <v>30000</v>
      </c>
      <c r="E37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4">
        <v>1</v>
      </c>
      <c r="G374" s="2" t="s">
        <v>12</v>
      </c>
      <c r="H374" s="2" t="s">
        <v>19</v>
      </c>
      <c r="I374" t="s">
        <v>17</v>
      </c>
      <c r="J374">
        <v>1</v>
      </c>
      <c r="K374" t="s">
        <v>25</v>
      </c>
      <c r="L374" s="2" t="s">
        <v>16</v>
      </c>
      <c r="M374" s="4">
        <v>39</v>
      </c>
      <c r="N374" s="4" t="str">
        <f>IF(Bike_Data[[#This Row],[Age]]&gt;=54,"Old",IF(Bike_Data[[#This Row],[Age]]&lt;30,"Young Adult","Middle Age"))</f>
        <v>Middle Age</v>
      </c>
      <c r="O374" s="5">
        <f t="shared" ca="1" si="5"/>
        <v>34023</v>
      </c>
      <c r="P374" s="2" t="s">
        <v>17</v>
      </c>
    </row>
    <row r="375" spans="1:16" x14ac:dyDescent="0.25">
      <c r="A375">
        <v>27771</v>
      </c>
      <c r="B375" s="2" t="s">
        <v>32</v>
      </c>
      <c r="C375" s="2" t="s">
        <v>34</v>
      </c>
      <c r="D375" s="4">
        <v>30000</v>
      </c>
      <c r="E37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5">
        <v>1</v>
      </c>
      <c r="G375" s="2" t="s">
        <v>12</v>
      </c>
      <c r="H375" s="2" t="s">
        <v>19</v>
      </c>
      <c r="I375" t="s">
        <v>14</v>
      </c>
      <c r="J375">
        <v>1</v>
      </c>
      <c r="K375" t="s">
        <v>25</v>
      </c>
      <c r="L375" s="2" t="s">
        <v>16</v>
      </c>
      <c r="M375" s="4">
        <v>39</v>
      </c>
      <c r="N375" s="4" t="str">
        <f>IF(Bike_Data[[#This Row],[Age]]&gt;=54,"Old",IF(Bike_Data[[#This Row],[Age]]&lt;30,"Young Adult","Middle Age"))</f>
        <v>Middle Age</v>
      </c>
      <c r="O375" s="5">
        <f t="shared" ca="1" si="5"/>
        <v>29533</v>
      </c>
      <c r="P375" s="2" t="s">
        <v>14</v>
      </c>
    </row>
    <row r="376" spans="1:16" x14ac:dyDescent="0.25">
      <c r="A376">
        <v>14791</v>
      </c>
      <c r="B376" s="2" t="s">
        <v>31</v>
      </c>
      <c r="C376" s="2" t="s">
        <v>33</v>
      </c>
      <c r="D376" s="4">
        <v>40000</v>
      </c>
      <c r="E37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6">
        <v>0</v>
      </c>
      <c r="G376" s="2" t="s">
        <v>12</v>
      </c>
      <c r="H376" s="2" t="s">
        <v>19</v>
      </c>
      <c r="I376" t="s">
        <v>14</v>
      </c>
      <c r="J376">
        <v>0</v>
      </c>
      <c r="K376" t="s">
        <v>15</v>
      </c>
      <c r="L376" s="2" t="s">
        <v>16</v>
      </c>
      <c r="M376" s="4">
        <v>39</v>
      </c>
      <c r="N376" s="4" t="str">
        <f>IF(Bike_Data[[#This Row],[Age]]&gt;=54,"Old",IF(Bike_Data[[#This Row],[Age]]&lt;30,"Young Adult","Middle Age"))</f>
        <v>Middle Age</v>
      </c>
      <c r="O376" s="5">
        <f t="shared" ca="1" si="5"/>
        <v>37892</v>
      </c>
      <c r="P376" s="2" t="s">
        <v>14</v>
      </c>
    </row>
    <row r="377" spans="1:16" x14ac:dyDescent="0.25">
      <c r="A377">
        <v>12821</v>
      </c>
      <c r="B377" s="2" t="s">
        <v>31</v>
      </c>
      <c r="C377" s="2" t="s">
        <v>34</v>
      </c>
      <c r="D377" s="4">
        <v>40000</v>
      </c>
      <c r="E37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7">
        <v>0</v>
      </c>
      <c r="G377" s="2" t="s">
        <v>12</v>
      </c>
      <c r="H377" s="2" t="s">
        <v>19</v>
      </c>
      <c r="I377" t="s">
        <v>14</v>
      </c>
      <c r="J377">
        <v>0</v>
      </c>
      <c r="K377" t="s">
        <v>15</v>
      </c>
      <c r="L377" s="2" t="s">
        <v>16</v>
      </c>
      <c r="M377" s="4">
        <v>39</v>
      </c>
      <c r="N377" s="4" t="str">
        <f>IF(Bike_Data[[#This Row],[Age]]&gt;=54,"Old",IF(Bike_Data[[#This Row],[Age]]&lt;30,"Young Adult","Middle Age"))</f>
        <v>Middle Age</v>
      </c>
      <c r="O377" s="5">
        <f t="shared" ca="1" si="5"/>
        <v>27119</v>
      </c>
      <c r="P377" s="2" t="s">
        <v>17</v>
      </c>
    </row>
    <row r="378" spans="1:16" x14ac:dyDescent="0.25">
      <c r="A378">
        <v>17025</v>
      </c>
      <c r="B378" s="2" t="s">
        <v>32</v>
      </c>
      <c r="C378" s="2" t="s">
        <v>34</v>
      </c>
      <c r="D378" s="4">
        <v>50000</v>
      </c>
      <c r="E37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78">
        <v>0</v>
      </c>
      <c r="G378" s="2" t="s">
        <v>18</v>
      </c>
      <c r="H378" s="2" t="s">
        <v>13</v>
      </c>
      <c r="I378" t="s">
        <v>17</v>
      </c>
      <c r="J378">
        <v>1</v>
      </c>
      <c r="K378" t="s">
        <v>21</v>
      </c>
      <c r="L378" s="2" t="s">
        <v>30</v>
      </c>
      <c r="M378" s="4">
        <v>39</v>
      </c>
      <c r="N378" s="4" t="str">
        <f>IF(Bike_Data[[#This Row],[Age]]&gt;=54,"Old",IF(Bike_Data[[#This Row],[Age]]&lt;30,"Young Adult","Middle Age"))</f>
        <v>Middle Age</v>
      </c>
      <c r="O378" s="5">
        <f t="shared" ca="1" si="5"/>
        <v>30791</v>
      </c>
      <c r="P378" s="2" t="s">
        <v>14</v>
      </c>
    </row>
    <row r="379" spans="1:16" x14ac:dyDescent="0.25">
      <c r="A379">
        <v>15194</v>
      </c>
      <c r="B379" s="2" t="s">
        <v>32</v>
      </c>
      <c r="C379" s="2" t="s">
        <v>34</v>
      </c>
      <c r="D379" s="4">
        <v>120000</v>
      </c>
      <c r="E37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379">
        <v>2</v>
      </c>
      <c r="G379" s="2" t="s">
        <v>12</v>
      </c>
      <c r="H379" s="2" t="s">
        <v>27</v>
      </c>
      <c r="I379" t="s">
        <v>17</v>
      </c>
      <c r="J379">
        <v>3</v>
      </c>
      <c r="K379" t="s">
        <v>15</v>
      </c>
      <c r="L379" s="2" t="s">
        <v>30</v>
      </c>
      <c r="M379" s="4">
        <v>39</v>
      </c>
      <c r="N379" s="4" t="str">
        <f>IF(Bike_Data[[#This Row],[Age]]&gt;=54,"Old",IF(Bike_Data[[#This Row],[Age]]&lt;30,"Young Adult","Middle Age"))</f>
        <v>Middle Age</v>
      </c>
      <c r="O379" s="5">
        <f t="shared" ca="1" si="5"/>
        <v>36789</v>
      </c>
      <c r="P379" s="2" t="s">
        <v>14</v>
      </c>
    </row>
    <row r="380" spans="1:16" x14ac:dyDescent="0.25">
      <c r="A380">
        <v>16217</v>
      </c>
      <c r="B380" s="2" t="s">
        <v>32</v>
      </c>
      <c r="C380" s="2" t="s">
        <v>33</v>
      </c>
      <c r="D380" s="4">
        <v>60000</v>
      </c>
      <c r="E38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0">
        <v>0</v>
      </c>
      <c r="G380" s="2" t="s">
        <v>29</v>
      </c>
      <c r="H380" s="2" t="s">
        <v>13</v>
      </c>
      <c r="I380" t="s">
        <v>14</v>
      </c>
      <c r="J380">
        <v>0</v>
      </c>
      <c r="K380" t="s">
        <v>15</v>
      </c>
      <c r="L380" s="2" t="s">
        <v>30</v>
      </c>
      <c r="M380" s="4">
        <v>39</v>
      </c>
      <c r="N380" s="4" t="str">
        <f>IF(Bike_Data[[#This Row],[Age]]&gt;=54,"Old",IF(Bike_Data[[#This Row],[Age]]&lt;30,"Young Adult","Middle Age"))</f>
        <v>Middle Age</v>
      </c>
      <c r="O380" s="5">
        <f t="shared" ca="1" si="5"/>
        <v>32036</v>
      </c>
      <c r="P380" s="2" t="s">
        <v>17</v>
      </c>
    </row>
    <row r="381" spans="1:16" x14ac:dyDescent="0.25">
      <c r="A381">
        <v>18572</v>
      </c>
      <c r="B381" s="2" t="s">
        <v>31</v>
      </c>
      <c r="C381" s="2" t="s">
        <v>33</v>
      </c>
      <c r="D381" s="4">
        <v>60000</v>
      </c>
      <c r="E38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1">
        <v>0</v>
      </c>
      <c r="G381" s="2" t="s">
        <v>29</v>
      </c>
      <c r="H381" s="2" t="s">
        <v>20</v>
      </c>
      <c r="I381" t="s">
        <v>14</v>
      </c>
      <c r="J381">
        <v>0</v>
      </c>
      <c r="K381" t="s">
        <v>15</v>
      </c>
      <c r="L381" s="2" t="s">
        <v>30</v>
      </c>
      <c r="M381" s="4">
        <v>39</v>
      </c>
      <c r="N381" s="4" t="str">
        <f>IF(Bike_Data[[#This Row],[Age]]&gt;=54,"Old",IF(Bike_Data[[#This Row],[Age]]&lt;30,"Young Adult","Middle Age"))</f>
        <v>Middle Age</v>
      </c>
      <c r="O381" s="5">
        <f t="shared" ca="1" si="5"/>
        <v>33340</v>
      </c>
      <c r="P381" s="2" t="s">
        <v>17</v>
      </c>
    </row>
    <row r="382" spans="1:16" x14ac:dyDescent="0.25">
      <c r="A382">
        <v>21613</v>
      </c>
      <c r="B382" s="2" t="s">
        <v>32</v>
      </c>
      <c r="C382" s="2" t="s">
        <v>34</v>
      </c>
      <c r="D382" s="4">
        <v>50000</v>
      </c>
      <c r="E38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82">
        <v>2</v>
      </c>
      <c r="G382" s="2" t="s">
        <v>12</v>
      </c>
      <c r="H382" s="2" t="s">
        <v>13</v>
      </c>
      <c r="I382" t="s">
        <v>17</v>
      </c>
      <c r="J382">
        <v>1</v>
      </c>
      <c r="K382" t="s">
        <v>15</v>
      </c>
      <c r="L382" s="2" t="s">
        <v>30</v>
      </c>
      <c r="M382" s="4">
        <v>39</v>
      </c>
      <c r="N382" s="4" t="str">
        <f>IF(Bike_Data[[#This Row],[Age]]&gt;=54,"Old",IF(Bike_Data[[#This Row],[Age]]&lt;30,"Young Adult","Middle Age"))</f>
        <v>Middle Age</v>
      </c>
      <c r="O382" s="5">
        <f t="shared" ca="1" si="5"/>
        <v>30053</v>
      </c>
      <c r="P382" s="2" t="s">
        <v>14</v>
      </c>
    </row>
    <row r="383" spans="1:16" x14ac:dyDescent="0.25">
      <c r="A383">
        <v>21695</v>
      </c>
      <c r="B383" s="2" t="s">
        <v>31</v>
      </c>
      <c r="C383" s="2" t="s">
        <v>34</v>
      </c>
      <c r="D383" s="4">
        <v>60000</v>
      </c>
      <c r="E3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3">
        <v>0</v>
      </c>
      <c r="G383" s="2" t="s">
        <v>29</v>
      </c>
      <c r="H383" s="2" t="s">
        <v>13</v>
      </c>
      <c r="I383" t="s">
        <v>14</v>
      </c>
      <c r="J383">
        <v>0</v>
      </c>
      <c r="K383" t="s">
        <v>25</v>
      </c>
      <c r="L383" s="2" t="s">
        <v>30</v>
      </c>
      <c r="M383" s="4">
        <v>39</v>
      </c>
      <c r="N383" s="4" t="str">
        <f>IF(Bike_Data[[#This Row],[Age]]&gt;=54,"Old",IF(Bike_Data[[#This Row],[Age]]&lt;30,"Young Adult","Middle Age"))</f>
        <v>Middle Age</v>
      </c>
      <c r="O383" s="5">
        <f t="shared" ca="1" si="5"/>
        <v>31101</v>
      </c>
      <c r="P383" s="2" t="s">
        <v>14</v>
      </c>
    </row>
    <row r="384" spans="1:16" x14ac:dyDescent="0.25">
      <c r="A384">
        <v>11823</v>
      </c>
      <c r="B384" s="2" t="s">
        <v>31</v>
      </c>
      <c r="C384" s="2" t="s">
        <v>33</v>
      </c>
      <c r="D384" s="4">
        <v>70000</v>
      </c>
      <c r="E3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4">
        <v>0</v>
      </c>
      <c r="G384" s="2" t="s">
        <v>29</v>
      </c>
      <c r="H384" s="2" t="s">
        <v>20</v>
      </c>
      <c r="I384" t="s">
        <v>14</v>
      </c>
      <c r="J384">
        <v>0</v>
      </c>
      <c r="K384" t="s">
        <v>21</v>
      </c>
      <c r="L384" s="2" t="s">
        <v>30</v>
      </c>
      <c r="M384" s="4">
        <v>39</v>
      </c>
      <c r="N384" s="4" t="str">
        <f>IF(Bike_Data[[#This Row],[Age]]&gt;=54,"Old",IF(Bike_Data[[#This Row],[Age]]&lt;30,"Young Adult","Middle Age"))</f>
        <v>Middle Age</v>
      </c>
      <c r="O384" s="5">
        <f t="shared" ca="1" si="5"/>
        <v>27408</v>
      </c>
      <c r="P384" s="2" t="s">
        <v>17</v>
      </c>
    </row>
    <row r="385" spans="1:16" x14ac:dyDescent="0.25">
      <c r="A385">
        <v>29037</v>
      </c>
      <c r="B385" s="2" t="s">
        <v>31</v>
      </c>
      <c r="C385" s="2" t="s">
        <v>34</v>
      </c>
      <c r="D385" s="4">
        <v>60000</v>
      </c>
      <c r="E38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5">
        <v>0</v>
      </c>
      <c r="G385" s="2" t="s">
        <v>29</v>
      </c>
      <c r="H385" s="2" t="s">
        <v>20</v>
      </c>
      <c r="I385" t="s">
        <v>17</v>
      </c>
      <c r="J385">
        <v>0</v>
      </c>
      <c r="K385" t="s">
        <v>15</v>
      </c>
      <c r="L385" s="2" t="s">
        <v>30</v>
      </c>
      <c r="M385" s="4">
        <v>39</v>
      </c>
      <c r="N385" s="4" t="str">
        <f>IF(Bike_Data[[#This Row],[Age]]&gt;=54,"Old",IF(Bike_Data[[#This Row],[Age]]&lt;30,"Young Adult","Middle Age"))</f>
        <v>Middle Age</v>
      </c>
      <c r="O385" s="5">
        <f t="shared" ca="1" si="5"/>
        <v>32079</v>
      </c>
      <c r="P385" s="2" t="s">
        <v>17</v>
      </c>
    </row>
    <row r="386" spans="1:16" x14ac:dyDescent="0.25">
      <c r="A386">
        <v>19280</v>
      </c>
      <c r="B386" s="2" t="s">
        <v>31</v>
      </c>
      <c r="C386" s="2" t="s">
        <v>34</v>
      </c>
      <c r="D386" s="4">
        <v>120000</v>
      </c>
      <c r="E38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386">
        <v>2</v>
      </c>
      <c r="G386" s="2" t="s">
        <v>18</v>
      </c>
      <c r="H386" s="2" t="s">
        <v>24</v>
      </c>
      <c r="I386" t="s">
        <v>14</v>
      </c>
      <c r="J386">
        <v>1</v>
      </c>
      <c r="K386" t="s">
        <v>15</v>
      </c>
      <c r="L386" s="2" t="s">
        <v>16</v>
      </c>
      <c r="M386" s="4">
        <v>40</v>
      </c>
      <c r="N386" s="4" t="str">
        <f>IF(Bike_Data[[#This Row],[Age]]&gt;=54,"Old",IF(Bike_Data[[#This Row],[Age]]&lt;30,"Young Adult","Middle Age"))</f>
        <v>Middle Age</v>
      </c>
      <c r="O386" s="5">
        <f t="shared" ca="1" si="5"/>
        <v>26027</v>
      </c>
      <c r="P386" s="2" t="s">
        <v>14</v>
      </c>
    </row>
    <row r="387" spans="1:16" x14ac:dyDescent="0.25">
      <c r="A387">
        <v>18283</v>
      </c>
      <c r="B387" s="2" t="s">
        <v>32</v>
      </c>
      <c r="C387" s="2" t="s">
        <v>33</v>
      </c>
      <c r="D387" s="4">
        <v>100000</v>
      </c>
      <c r="E38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87">
        <v>0</v>
      </c>
      <c r="G387" s="2" t="s">
        <v>12</v>
      </c>
      <c r="H387" s="2" t="s">
        <v>20</v>
      </c>
      <c r="I387" t="s">
        <v>17</v>
      </c>
      <c r="J387">
        <v>1</v>
      </c>
      <c r="K387" t="s">
        <v>22</v>
      </c>
      <c r="L387" s="2" t="s">
        <v>23</v>
      </c>
      <c r="M387" s="4">
        <v>40</v>
      </c>
      <c r="N387" s="4" t="str">
        <f>IF(Bike_Data[[#This Row],[Age]]&gt;=54,"Old",IF(Bike_Data[[#This Row],[Age]]&lt;30,"Young Adult","Middle Age"))</f>
        <v>Middle Age</v>
      </c>
      <c r="O387" s="5">
        <f t="shared" ref="O387:O450" ca="1" si="6">RANDBETWEEN(DATE(1971,1,1), DATE(2003,12,31))</f>
        <v>28752</v>
      </c>
      <c r="P387" s="2" t="s">
        <v>17</v>
      </c>
    </row>
    <row r="388" spans="1:16" x14ac:dyDescent="0.25">
      <c r="A388">
        <v>16259</v>
      </c>
      <c r="B388" s="2" t="s">
        <v>32</v>
      </c>
      <c r="C388" s="2" t="s">
        <v>33</v>
      </c>
      <c r="D388" s="4">
        <v>10000</v>
      </c>
      <c r="E3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88">
        <v>4</v>
      </c>
      <c r="G388" s="2" t="s">
        <v>28</v>
      </c>
      <c r="H388" s="2" t="s">
        <v>24</v>
      </c>
      <c r="I388" t="s">
        <v>14</v>
      </c>
      <c r="J388">
        <v>2</v>
      </c>
      <c r="K388" t="s">
        <v>15</v>
      </c>
      <c r="L388" s="2" t="s">
        <v>16</v>
      </c>
      <c r="M388" s="4">
        <v>40</v>
      </c>
      <c r="N388" s="4" t="str">
        <f>IF(Bike_Data[[#This Row],[Age]]&gt;=54,"Old",IF(Bike_Data[[#This Row],[Age]]&lt;30,"Young Adult","Middle Age"))</f>
        <v>Middle Age</v>
      </c>
      <c r="O388" s="5">
        <f t="shared" ca="1" si="6"/>
        <v>31648</v>
      </c>
      <c r="P388" s="2" t="s">
        <v>14</v>
      </c>
    </row>
    <row r="389" spans="1:16" x14ac:dyDescent="0.25">
      <c r="A389">
        <v>17703</v>
      </c>
      <c r="B389" s="2" t="s">
        <v>31</v>
      </c>
      <c r="C389" s="2" t="s">
        <v>33</v>
      </c>
      <c r="D389" s="4">
        <v>10000</v>
      </c>
      <c r="E38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89">
        <v>1</v>
      </c>
      <c r="G389" s="2" t="s">
        <v>29</v>
      </c>
      <c r="H389" s="2" t="s">
        <v>24</v>
      </c>
      <c r="I389" t="s">
        <v>14</v>
      </c>
      <c r="J389">
        <v>0</v>
      </c>
      <c r="K389" t="s">
        <v>15</v>
      </c>
      <c r="L389" s="2" t="s">
        <v>16</v>
      </c>
      <c r="M389" s="4">
        <v>40</v>
      </c>
      <c r="N389" s="4" t="str">
        <f>IF(Bike_Data[[#This Row],[Age]]&gt;=54,"Old",IF(Bike_Data[[#This Row],[Age]]&lt;30,"Young Adult","Middle Age"))</f>
        <v>Middle Age</v>
      </c>
      <c r="O389" s="5">
        <f t="shared" ca="1" si="6"/>
        <v>33764</v>
      </c>
      <c r="P389" s="2" t="s">
        <v>17</v>
      </c>
    </row>
    <row r="390" spans="1:16" x14ac:dyDescent="0.25">
      <c r="A390">
        <v>19461</v>
      </c>
      <c r="B390" s="2" t="s">
        <v>32</v>
      </c>
      <c r="C390" s="2" t="s">
        <v>33</v>
      </c>
      <c r="D390" s="4">
        <v>10000</v>
      </c>
      <c r="E3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0">
        <v>4</v>
      </c>
      <c r="G390" s="2" t="s">
        <v>28</v>
      </c>
      <c r="H390" s="2" t="s">
        <v>24</v>
      </c>
      <c r="I390" t="s">
        <v>14</v>
      </c>
      <c r="J390">
        <v>2</v>
      </c>
      <c r="K390" t="s">
        <v>15</v>
      </c>
      <c r="L390" s="2" t="s">
        <v>16</v>
      </c>
      <c r="M390" s="4">
        <v>40</v>
      </c>
      <c r="N390" s="4" t="str">
        <f>IF(Bike_Data[[#This Row],[Age]]&gt;=54,"Old",IF(Bike_Data[[#This Row],[Age]]&lt;30,"Young Adult","Middle Age"))</f>
        <v>Middle Age</v>
      </c>
      <c r="O390" s="5">
        <f t="shared" ca="1" si="6"/>
        <v>34545</v>
      </c>
      <c r="P390" s="2" t="s">
        <v>17</v>
      </c>
    </row>
    <row r="391" spans="1:16" x14ac:dyDescent="0.25">
      <c r="A391">
        <v>19608</v>
      </c>
      <c r="B391" s="2" t="s">
        <v>31</v>
      </c>
      <c r="C391" s="2" t="s">
        <v>34</v>
      </c>
      <c r="D391" s="4">
        <v>80000</v>
      </c>
      <c r="E39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91">
        <v>5</v>
      </c>
      <c r="G391" s="2" t="s">
        <v>12</v>
      </c>
      <c r="H391" s="2" t="s">
        <v>20</v>
      </c>
      <c r="I391" t="s">
        <v>14</v>
      </c>
      <c r="J391">
        <v>4</v>
      </c>
      <c r="K391" t="s">
        <v>25</v>
      </c>
      <c r="L391" s="2" t="s">
        <v>23</v>
      </c>
      <c r="M391" s="4">
        <v>40</v>
      </c>
      <c r="N391" s="4" t="str">
        <f>IF(Bike_Data[[#This Row],[Age]]&gt;=54,"Old",IF(Bike_Data[[#This Row],[Age]]&lt;30,"Young Adult","Middle Age"))</f>
        <v>Middle Age</v>
      </c>
      <c r="O391" s="5">
        <f t="shared" ca="1" si="6"/>
        <v>30668</v>
      </c>
      <c r="P391" s="2" t="s">
        <v>17</v>
      </c>
    </row>
    <row r="392" spans="1:16" x14ac:dyDescent="0.25">
      <c r="A392">
        <v>25458</v>
      </c>
      <c r="B392" s="2" t="s">
        <v>31</v>
      </c>
      <c r="C392" s="2" t="s">
        <v>34</v>
      </c>
      <c r="D392" s="4">
        <v>20000</v>
      </c>
      <c r="E3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2">
        <v>1</v>
      </c>
      <c r="G392" s="2" t="s">
        <v>26</v>
      </c>
      <c r="H392" s="2" t="s">
        <v>24</v>
      </c>
      <c r="I392" t="s">
        <v>17</v>
      </c>
      <c r="J392">
        <v>1</v>
      </c>
      <c r="K392" t="s">
        <v>25</v>
      </c>
      <c r="L392" s="2" t="s">
        <v>16</v>
      </c>
      <c r="M392" s="4">
        <v>40</v>
      </c>
      <c r="N392" s="4" t="str">
        <f>IF(Bike_Data[[#This Row],[Age]]&gt;=54,"Old",IF(Bike_Data[[#This Row],[Age]]&lt;30,"Young Adult","Middle Age"))</f>
        <v>Middle Age</v>
      </c>
      <c r="O392" s="5">
        <f t="shared" ca="1" si="6"/>
        <v>29243</v>
      </c>
      <c r="P392" s="2" t="s">
        <v>14</v>
      </c>
    </row>
    <row r="393" spans="1:16" x14ac:dyDescent="0.25">
      <c r="A393">
        <v>24065</v>
      </c>
      <c r="B393" s="2" t="s">
        <v>32</v>
      </c>
      <c r="C393" s="2" t="s">
        <v>33</v>
      </c>
      <c r="D393" s="4">
        <v>20000</v>
      </c>
      <c r="E39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3">
        <v>0</v>
      </c>
      <c r="G393" s="2" t="s">
        <v>26</v>
      </c>
      <c r="H393" s="2" t="s">
        <v>24</v>
      </c>
      <c r="I393" t="s">
        <v>14</v>
      </c>
      <c r="J393">
        <v>0</v>
      </c>
      <c r="K393" t="s">
        <v>15</v>
      </c>
      <c r="L393" s="2" t="s">
        <v>16</v>
      </c>
      <c r="M393" s="4">
        <v>40</v>
      </c>
      <c r="N393" s="4" t="str">
        <f>IF(Bike_Data[[#This Row],[Age]]&gt;=54,"Old",IF(Bike_Data[[#This Row],[Age]]&lt;30,"Young Adult","Middle Age"))</f>
        <v>Middle Age</v>
      </c>
      <c r="O393" s="5">
        <f t="shared" ca="1" si="6"/>
        <v>26031</v>
      </c>
      <c r="P393" s="2" t="s">
        <v>14</v>
      </c>
    </row>
    <row r="394" spans="1:16" x14ac:dyDescent="0.25">
      <c r="A394">
        <v>29301</v>
      </c>
      <c r="B394" s="2" t="s">
        <v>31</v>
      </c>
      <c r="C394" s="2" t="s">
        <v>34</v>
      </c>
      <c r="D394" s="4">
        <v>80000</v>
      </c>
      <c r="E3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94">
        <v>5</v>
      </c>
      <c r="G394" s="2" t="s">
        <v>12</v>
      </c>
      <c r="H394" s="2" t="s">
        <v>20</v>
      </c>
      <c r="I394" t="s">
        <v>14</v>
      </c>
      <c r="J394">
        <v>4</v>
      </c>
      <c r="K394" t="s">
        <v>25</v>
      </c>
      <c r="L394" s="2" t="s">
        <v>23</v>
      </c>
      <c r="M394" s="4">
        <v>40</v>
      </c>
      <c r="N394" s="4" t="str">
        <f>IF(Bike_Data[[#This Row],[Age]]&gt;=54,"Old",IF(Bike_Data[[#This Row],[Age]]&lt;30,"Young Adult","Middle Age"))</f>
        <v>Middle Age</v>
      </c>
      <c r="O394" s="5">
        <f t="shared" ca="1" si="6"/>
        <v>28976</v>
      </c>
      <c r="P394" s="2" t="s">
        <v>17</v>
      </c>
    </row>
    <row r="395" spans="1:16" x14ac:dyDescent="0.25">
      <c r="A395">
        <v>19477</v>
      </c>
      <c r="B395" s="2" t="s">
        <v>31</v>
      </c>
      <c r="C395" s="2" t="s">
        <v>34</v>
      </c>
      <c r="D395" s="4">
        <v>40000</v>
      </c>
      <c r="E3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5">
        <v>0</v>
      </c>
      <c r="G395" s="2" t="s">
        <v>12</v>
      </c>
      <c r="H395" s="2" t="s">
        <v>20</v>
      </c>
      <c r="I395" t="s">
        <v>14</v>
      </c>
      <c r="J395">
        <v>0</v>
      </c>
      <c r="K395" t="s">
        <v>15</v>
      </c>
      <c r="L395" s="2" t="s">
        <v>16</v>
      </c>
      <c r="M395" s="4">
        <v>40</v>
      </c>
      <c r="N395" s="4" t="str">
        <f>IF(Bike_Data[[#This Row],[Age]]&gt;=54,"Old",IF(Bike_Data[[#This Row],[Age]]&lt;30,"Young Adult","Middle Age"))</f>
        <v>Middle Age</v>
      </c>
      <c r="O395" s="5">
        <f t="shared" ca="1" si="6"/>
        <v>27540</v>
      </c>
      <c r="P395" s="2" t="s">
        <v>14</v>
      </c>
    </row>
    <row r="396" spans="1:16" x14ac:dyDescent="0.25">
      <c r="A396">
        <v>22500</v>
      </c>
      <c r="B396" s="2" t="s">
        <v>32</v>
      </c>
      <c r="C396" s="2" t="s">
        <v>34</v>
      </c>
      <c r="D396" s="4">
        <v>40000</v>
      </c>
      <c r="E3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6">
        <v>0</v>
      </c>
      <c r="G396" s="2" t="s">
        <v>12</v>
      </c>
      <c r="H396" s="2" t="s">
        <v>20</v>
      </c>
      <c r="I396" t="s">
        <v>17</v>
      </c>
      <c r="J396">
        <v>0</v>
      </c>
      <c r="K396" t="s">
        <v>15</v>
      </c>
      <c r="L396" s="2" t="s">
        <v>16</v>
      </c>
      <c r="M396" s="4">
        <v>40</v>
      </c>
      <c r="N396" s="4" t="str">
        <f>IF(Bike_Data[[#This Row],[Age]]&gt;=54,"Old",IF(Bike_Data[[#This Row],[Age]]&lt;30,"Young Adult","Middle Age"))</f>
        <v>Middle Age</v>
      </c>
      <c r="O396" s="5">
        <f t="shared" ca="1" si="6"/>
        <v>33045</v>
      </c>
      <c r="P396" s="2" t="s">
        <v>14</v>
      </c>
    </row>
    <row r="397" spans="1:16" x14ac:dyDescent="0.25">
      <c r="A397">
        <v>19475</v>
      </c>
      <c r="B397" s="2" t="s">
        <v>31</v>
      </c>
      <c r="C397" s="2" t="s">
        <v>33</v>
      </c>
      <c r="D397" s="4">
        <v>40000</v>
      </c>
      <c r="E39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7">
        <v>0</v>
      </c>
      <c r="G397" s="2" t="s">
        <v>12</v>
      </c>
      <c r="H397" s="2" t="s">
        <v>20</v>
      </c>
      <c r="I397" t="s">
        <v>17</v>
      </c>
      <c r="J397">
        <v>0</v>
      </c>
      <c r="K397" t="s">
        <v>15</v>
      </c>
      <c r="L397" s="2" t="s">
        <v>16</v>
      </c>
      <c r="M397" s="4">
        <v>40</v>
      </c>
      <c r="N397" s="4" t="str">
        <f>IF(Bike_Data[[#This Row],[Age]]&gt;=54,"Old",IF(Bike_Data[[#This Row],[Age]]&lt;30,"Young Adult","Middle Age"))</f>
        <v>Middle Age</v>
      </c>
      <c r="O397" s="5">
        <f t="shared" ca="1" si="6"/>
        <v>33427</v>
      </c>
      <c r="P397" s="2" t="s">
        <v>14</v>
      </c>
    </row>
    <row r="398" spans="1:16" x14ac:dyDescent="0.25">
      <c r="A398">
        <v>23426</v>
      </c>
      <c r="B398" s="2" t="s">
        <v>32</v>
      </c>
      <c r="C398" s="2" t="s">
        <v>34</v>
      </c>
      <c r="D398" s="4">
        <v>80000</v>
      </c>
      <c r="E39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398">
        <v>5</v>
      </c>
      <c r="G398" s="2" t="s">
        <v>29</v>
      </c>
      <c r="H398" s="2" t="s">
        <v>27</v>
      </c>
      <c r="I398" t="s">
        <v>14</v>
      </c>
      <c r="J398">
        <v>3</v>
      </c>
      <c r="K398" t="s">
        <v>15</v>
      </c>
      <c r="L398" s="2" t="s">
        <v>23</v>
      </c>
      <c r="M398" s="4">
        <v>40</v>
      </c>
      <c r="N398" s="4" t="str">
        <f>IF(Bike_Data[[#This Row],[Age]]&gt;=54,"Old",IF(Bike_Data[[#This Row],[Age]]&lt;30,"Young Adult","Middle Age"))</f>
        <v>Middle Age</v>
      </c>
      <c r="O398" s="5">
        <f t="shared" ca="1" si="6"/>
        <v>30006</v>
      </c>
      <c r="P398" s="2" t="s">
        <v>17</v>
      </c>
    </row>
    <row r="399" spans="1:16" x14ac:dyDescent="0.25">
      <c r="A399">
        <v>25460</v>
      </c>
      <c r="B399" s="2" t="s">
        <v>31</v>
      </c>
      <c r="C399" s="2" t="s">
        <v>33</v>
      </c>
      <c r="D399" s="4">
        <v>20000</v>
      </c>
      <c r="E39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399">
        <v>2</v>
      </c>
      <c r="G399" s="2" t="s">
        <v>26</v>
      </c>
      <c r="H399" s="2" t="s">
        <v>24</v>
      </c>
      <c r="I399" t="s">
        <v>14</v>
      </c>
      <c r="J399">
        <v>0</v>
      </c>
      <c r="K399" t="s">
        <v>15</v>
      </c>
      <c r="L399" s="2" t="s">
        <v>16</v>
      </c>
      <c r="M399" s="4">
        <v>40</v>
      </c>
      <c r="N399" s="4" t="str">
        <f>IF(Bike_Data[[#This Row],[Age]]&gt;=54,"Old",IF(Bike_Data[[#This Row],[Age]]&lt;30,"Young Adult","Middle Age"))</f>
        <v>Middle Age</v>
      </c>
      <c r="O399" s="5">
        <f t="shared" ca="1" si="6"/>
        <v>31672</v>
      </c>
      <c r="P399" s="2" t="s">
        <v>14</v>
      </c>
    </row>
    <row r="400" spans="1:16" x14ac:dyDescent="0.25">
      <c r="A400">
        <v>24061</v>
      </c>
      <c r="B400" s="2" t="s">
        <v>31</v>
      </c>
      <c r="C400" s="2" t="s">
        <v>34</v>
      </c>
      <c r="D400" s="4">
        <v>10000</v>
      </c>
      <c r="E4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00">
        <v>4</v>
      </c>
      <c r="G400" s="2" t="s">
        <v>28</v>
      </c>
      <c r="H400" s="2" t="s">
        <v>24</v>
      </c>
      <c r="I400" t="s">
        <v>14</v>
      </c>
      <c r="J400">
        <v>1</v>
      </c>
      <c r="K400" t="s">
        <v>15</v>
      </c>
      <c r="L400" s="2" t="s">
        <v>16</v>
      </c>
      <c r="M400" s="4">
        <v>40</v>
      </c>
      <c r="N400" s="4" t="str">
        <f>IF(Bike_Data[[#This Row],[Age]]&gt;=54,"Old",IF(Bike_Data[[#This Row],[Age]]&lt;30,"Young Adult","Middle Age"))</f>
        <v>Middle Age</v>
      </c>
      <c r="O400" s="5">
        <f t="shared" ca="1" si="6"/>
        <v>29995</v>
      </c>
      <c r="P400" s="2" t="s">
        <v>14</v>
      </c>
    </row>
    <row r="401" spans="1:16" x14ac:dyDescent="0.25">
      <c r="A401">
        <v>20897</v>
      </c>
      <c r="B401" s="2" t="s">
        <v>31</v>
      </c>
      <c r="C401" s="2" t="s">
        <v>33</v>
      </c>
      <c r="D401" s="4">
        <v>30000</v>
      </c>
      <c r="E4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01">
        <v>1</v>
      </c>
      <c r="G401" s="2" t="s">
        <v>12</v>
      </c>
      <c r="H401" s="2" t="s">
        <v>13</v>
      </c>
      <c r="I401" t="s">
        <v>14</v>
      </c>
      <c r="J401">
        <v>2</v>
      </c>
      <c r="K401" t="s">
        <v>15</v>
      </c>
      <c r="L401" s="2" t="s">
        <v>16</v>
      </c>
      <c r="M401" s="4">
        <v>40</v>
      </c>
      <c r="N401" s="4" t="str">
        <f>IF(Bike_Data[[#This Row],[Age]]&gt;=54,"Old",IF(Bike_Data[[#This Row],[Age]]&lt;30,"Young Adult","Middle Age"))</f>
        <v>Middle Age</v>
      </c>
      <c r="O401" s="5">
        <f t="shared" ca="1" si="6"/>
        <v>28656</v>
      </c>
      <c r="P401" s="2" t="s">
        <v>17</v>
      </c>
    </row>
    <row r="402" spans="1:16" x14ac:dyDescent="0.25">
      <c r="A402">
        <v>11000</v>
      </c>
      <c r="B402" s="2" t="s">
        <v>31</v>
      </c>
      <c r="C402" s="2" t="s">
        <v>34</v>
      </c>
      <c r="D402" s="4">
        <v>90000</v>
      </c>
      <c r="E40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2">
        <v>2</v>
      </c>
      <c r="G402" s="2" t="s">
        <v>12</v>
      </c>
      <c r="H402" s="2" t="s">
        <v>20</v>
      </c>
      <c r="I402" t="s">
        <v>14</v>
      </c>
      <c r="J402">
        <v>0</v>
      </c>
      <c r="K402" t="s">
        <v>25</v>
      </c>
      <c r="L402" s="2" t="s">
        <v>23</v>
      </c>
      <c r="M402" s="4">
        <v>40</v>
      </c>
      <c r="N402" s="4" t="str">
        <f>IF(Bike_Data[[#This Row],[Age]]&gt;=54,"Old",IF(Bike_Data[[#This Row],[Age]]&lt;30,"Young Adult","Middle Age"))</f>
        <v>Middle Age</v>
      </c>
      <c r="O402" s="5">
        <f t="shared" ca="1" si="6"/>
        <v>34029</v>
      </c>
      <c r="P402" s="2" t="s">
        <v>14</v>
      </c>
    </row>
    <row r="403" spans="1:16" x14ac:dyDescent="0.25">
      <c r="A403">
        <v>20228</v>
      </c>
      <c r="B403" s="2" t="s">
        <v>31</v>
      </c>
      <c r="C403" s="2" t="s">
        <v>34</v>
      </c>
      <c r="D403" s="4">
        <v>100000</v>
      </c>
      <c r="E40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3">
        <v>0</v>
      </c>
      <c r="G403" s="2" t="s">
        <v>29</v>
      </c>
      <c r="H403" s="2" t="s">
        <v>27</v>
      </c>
      <c r="I403" t="s">
        <v>14</v>
      </c>
      <c r="J403">
        <v>0</v>
      </c>
      <c r="K403" t="s">
        <v>21</v>
      </c>
      <c r="L403" s="2" t="s">
        <v>23</v>
      </c>
      <c r="M403" s="4">
        <v>40</v>
      </c>
      <c r="N403" s="4" t="str">
        <f>IF(Bike_Data[[#This Row],[Age]]&gt;=54,"Old",IF(Bike_Data[[#This Row],[Age]]&lt;30,"Young Adult","Middle Age"))</f>
        <v>Middle Age</v>
      </c>
      <c r="O403" s="5">
        <f t="shared" ca="1" si="6"/>
        <v>36322</v>
      </c>
      <c r="P403" s="2" t="s">
        <v>14</v>
      </c>
    </row>
    <row r="404" spans="1:16" x14ac:dyDescent="0.25">
      <c r="A404">
        <v>28379</v>
      </c>
      <c r="B404" s="2" t="s">
        <v>31</v>
      </c>
      <c r="C404" s="2" t="s">
        <v>34</v>
      </c>
      <c r="D404" s="4">
        <v>30000</v>
      </c>
      <c r="E40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04">
        <v>1</v>
      </c>
      <c r="G404" s="2" t="s">
        <v>12</v>
      </c>
      <c r="H404" s="2" t="s">
        <v>13</v>
      </c>
      <c r="I404" t="s">
        <v>14</v>
      </c>
      <c r="J404">
        <v>2</v>
      </c>
      <c r="K404" t="s">
        <v>15</v>
      </c>
      <c r="L404" s="2" t="s">
        <v>16</v>
      </c>
      <c r="M404" s="4">
        <v>40</v>
      </c>
      <c r="N404" s="4" t="str">
        <f>IF(Bike_Data[[#This Row],[Age]]&gt;=54,"Old",IF(Bike_Data[[#This Row],[Age]]&lt;30,"Young Adult","Middle Age"))</f>
        <v>Middle Age</v>
      </c>
      <c r="O404" s="5">
        <f t="shared" ca="1" si="6"/>
        <v>28892</v>
      </c>
      <c r="P404" s="2" t="s">
        <v>17</v>
      </c>
    </row>
    <row r="405" spans="1:16" x14ac:dyDescent="0.25">
      <c r="A405">
        <v>13961</v>
      </c>
      <c r="B405" s="2" t="s">
        <v>31</v>
      </c>
      <c r="C405" s="2" t="s">
        <v>33</v>
      </c>
      <c r="D405" s="4">
        <v>80000</v>
      </c>
      <c r="E40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5">
        <v>5</v>
      </c>
      <c r="G405" s="2" t="s">
        <v>29</v>
      </c>
      <c r="H405" s="2" t="s">
        <v>27</v>
      </c>
      <c r="I405" t="s">
        <v>14</v>
      </c>
      <c r="J405">
        <v>3</v>
      </c>
      <c r="K405" t="s">
        <v>15</v>
      </c>
      <c r="L405" s="2" t="s">
        <v>23</v>
      </c>
      <c r="M405" s="4">
        <v>40</v>
      </c>
      <c r="N405" s="4" t="str">
        <f>IF(Bike_Data[[#This Row],[Age]]&gt;=54,"Old",IF(Bike_Data[[#This Row],[Age]]&lt;30,"Young Adult","Middle Age"))</f>
        <v>Middle Age</v>
      </c>
      <c r="O405" s="5">
        <f t="shared" ca="1" si="6"/>
        <v>28985</v>
      </c>
      <c r="P405" s="2" t="s">
        <v>17</v>
      </c>
    </row>
    <row r="406" spans="1:16" x14ac:dyDescent="0.25">
      <c r="A406">
        <v>24093</v>
      </c>
      <c r="B406" s="2" t="s">
        <v>32</v>
      </c>
      <c r="C406" s="2" t="s">
        <v>33</v>
      </c>
      <c r="D406" s="4">
        <v>80000</v>
      </c>
      <c r="E40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6">
        <v>0</v>
      </c>
      <c r="G406" s="2" t="s">
        <v>29</v>
      </c>
      <c r="H406" s="2" t="s">
        <v>13</v>
      </c>
      <c r="I406" t="s">
        <v>17</v>
      </c>
      <c r="J406">
        <v>0</v>
      </c>
      <c r="K406" t="s">
        <v>15</v>
      </c>
      <c r="L406" s="2" t="s">
        <v>16</v>
      </c>
      <c r="M406" s="4">
        <v>40</v>
      </c>
      <c r="N406" s="4" t="str">
        <f>IF(Bike_Data[[#This Row],[Age]]&gt;=54,"Old",IF(Bike_Data[[#This Row],[Age]]&lt;30,"Young Adult","Middle Age"))</f>
        <v>Middle Age</v>
      </c>
      <c r="O406" s="5">
        <f t="shared" ca="1" si="6"/>
        <v>33354</v>
      </c>
      <c r="P406" s="2" t="s">
        <v>14</v>
      </c>
    </row>
    <row r="407" spans="1:16" x14ac:dyDescent="0.25">
      <c r="A407">
        <v>19331</v>
      </c>
      <c r="B407" s="2" t="s">
        <v>32</v>
      </c>
      <c r="C407" s="2" t="s">
        <v>34</v>
      </c>
      <c r="D407" s="4">
        <v>20000</v>
      </c>
      <c r="E40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07">
        <v>2</v>
      </c>
      <c r="G407" s="2" t="s">
        <v>26</v>
      </c>
      <c r="H407" s="2" t="s">
        <v>24</v>
      </c>
      <c r="I407" t="s">
        <v>14</v>
      </c>
      <c r="J407">
        <v>1</v>
      </c>
      <c r="K407" t="s">
        <v>15</v>
      </c>
      <c r="L407" s="2" t="s">
        <v>16</v>
      </c>
      <c r="M407" s="4">
        <v>40</v>
      </c>
      <c r="N407" s="4" t="str">
        <f>IF(Bike_Data[[#This Row],[Age]]&gt;=54,"Old",IF(Bike_Data[[#This Row],[Age]]&lt;30,"Young Adult","Middle Age"))</f>
        <v>Middle Age</v>
      </c>
      <c r="O407" s="5">
        <f t="shared" ca="1" si="6"/>
        <v>35114</v>
      </c>
      <c r="P407" s="2" t="s">
        <v>17</v>
      </c>
    </row>
    <row r="408" spans="1:16" x14ac:dyDescent="0.25">
      <c r="A408">
        <v>18253</v>
      </c>
      <c r="B408" s="2" t="s">
        <v>31</v>
      </c>
      <c r="C408" s="2" t="s">
        <v>33</v>
      </c>
      <c r="D408" s="4">
        <v>80000</v>
      </c>
      <c r="E40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8">
        <v>5</v>
      </c>
      <c r="G408" s="2" t="s">
        <v>29</v>
      </c>
      <c r="H408" s="2" t="s">
        <v>27</v>
      </c>
      <c r="I408" t="s">
        <v>14</v>
      </c>
      <c r="J408">
        <v>3</v>
      </c>
      <c r="K408" t="s">
        <v>15</v>
      </c>
      <c r="L408" s="2" t="s">
        <v>23</v>
      </c>
      <c r="M408" s="4">
        <v>40</v>
      </c>
      <c r="N408" s="4" t="str">
        <f>IF(Bike_Data[[#This Row],[Age]]&gt;=54,"Old",IF(Bike_Data[[#This Row],[Age]]&lt;30,"Young Adult","Middle Age"))</f>
        <v>Middle Age</v>
      </c>
      <c r="O408" s="5">
        <f t="shared" ca="1" si="6"/>
        <v>31388</v>
      </c>
      <c r="P408" s="2" t="s">
        <v>17</v>
      </c>
    </row>
    <row r="409" spans="1:16" x14ac:dyDescent="0.25">
      <c r="A409">
        <v>20678</v>
      </c>
      <c r="B409" s="2" t="s">
        <v>32</v>
      </c>
      <c r="C409" s="2" t="s">
        <v>33</v>
      </c>
      <c r="D409" s="4">
        <v>60000</v>
      </c>
      <c r="E40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09">
        <v>3</v>
      </c>
      <c r="G409" s="2" t="s">
        <v>12</v>
      </c>
      <c r="H409" s="2" t="s">
        <v>13</v>
      </c>
      <c r="I409" t="s">
        <v>14</v>
      </c>
      <c r="J409">
        <v>1</v>
      </c>
      <c r="K409" t="s">
        <v>21</v>
      </c>
      <c r="L409" s="2" t="s">
        <v>30</v>
      </c>
      <c r="M409" s="4">
        <v>40</v>
      </c>
      <c r="N409" s="4" t="str">
        <f>IF(Bike_Data[[#This Row],[Age]]&gt;=54,"Old",IF(Bike_Data[[#This Row],[Age]]&lt;30,"Young Adult","Middle Age"))</f>
        <v>Middle Age</v>
      </c>
      <c r="O409" s="5">
        <f t="shared" ca="1" si="6"/>
        <v>35887</v>
      </c>
      <c r="P409" s="2" t="s">
        <v>14</v>
      </c>
    </row>
    <row r="410" spans="1:16" x14ac:dyDescent="0.25">
      <c r="A410">
        <v>15940</v>
      </c>
      <c r="B410" s="2" t="s">
        <v>31</v>
      </c>
      <c r="C410" s="2" t="s">
        <v>34</v>
      </c>
      <c r="D410" s="4">
        <v>100000</v>
      </c>
      <c r="E41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0">
        <v>4</v>
      </c>
      <c r="G410" s="2" t="s">
        <v>18</v>
      </c>
      <c r="H410" s="2" t="s">
        <v>20</v>
      </c>
      <c r="I410" t="s">
        <v>14</v>
      </c>
      <c r="J410">
        <v>4</v>
      </c>
      <c r="K410" t="s">
        <v>15</v>
      </c>
      <c r="L410" s="2" t="s">
        <v>30</v>
      </c>
      <c r="M410" s="4">
        <v>40</v>
      </c>
      <c r="N410" s="4" t="str">
        <f>IF(Bike_Data[[#This Row],[Age]]&gt;=54,"Old",IF(Bike_Data[[#This Row],[Age]]&lt;30,"Young Adult","Middle Age"))</f>
        <v>Middle Age</v>
      </c>
      <c r="O410" s="5">
        <f t="shared" ca="1" si="6"/>
        <v>30532</v>
      </c>
      <c r="P410" s="2" t="s">
        <v>17</v>
      </c>
    </row>
    <row r="411" spans="1:16" x14ac:dyDescent="0.25">
      <c r="A411">
        <v>24397</v>
      </c>
      <c r="B411" s="2" t="s">
        <v>32</v>
      </c>
      <c r="C411" s="2" t="s">
        <v>34</v>
      </c>
      <c r="D411" s="4">
        <v>120000</v>
      </c>
      <c r="E41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11">
        <v>2</v>
      </c>
      <c r="G411" s="2" t="s">
        <v>12</v>
      </c>
      <c r="H411" s="2" t="s">
        <v>27</v>
      </c>
      <c r="I411" t="s">
        <v>17</v>
      </c>
      <c r="J411">
        <v>4</v>
      </c>
      <c r="K411" t="s">
        <v>25</v>
      </c>
      <c r="L411" s="2" t="s">
        <v>30</v>
      </c>
      <c r="M411" s="4">
        <v>40</v>
      </c>
      <c r="N411" s="4" t="str">
        <f>IF(Bike_Data[[#This Row],[Age]]&gt;=54,"Old",IF(Bike_Data[[#This Row],[Age]]&lt;30,"Young Adult","Middle Age"))</f>
        <v>Middle Age</v>
      </c>
      <c r="O411" s="5">
        <f t="shared" ca="1" si="6"/>
        <v>37046</v>
      </c>
      <c r="P411" s="2" t="s">
        <v>17</v>
      </c>
    </row>
    <row r="412" spans="1:16" x14ac:dyDescent="0.25">
      <c r="A412">
        <v>18580</v>
      </c>
      <c r="B412" s="2" t="s">
        <v>31</v>
      </c>
      <c r="C412" s="2" t="s">
        <v>33</v>
      </c>
      <c r="D412" s="4">
        <v>60000</v>
      </c>
      <c r="E41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2">
        <v>2</v>
      </c>
      <c r="G412" s="2" t="s">
        <v>29</v>
      </c>
      <c r="H412" s="2" t="s">
        <v>20</v>
      </c>
      <c r="I412" t="s">
        <v>14</v>
      </c>
      <c r="J412">
        <v>0</v>
      </c>
      <c r="K412" t="s">
        <v>21</v>
      </c>
      <c r="L412" s="2" t="s">
        <v>30</v>
      </c>
      <c r="M412" s="4">
        <v>40</v>
      </c>
      <c r="N412" s="4" t="str">
        <f>IF(Bike_Data[[#This Row],[Age]]&gt;=54,"Old",IF(Bike_Data[[#This Row],[Age]]&lt;30,"Young Adult","Middle Age"))</f>
        <v>Middle Age</v>
      </c>
      <c r="O412" s="5">
        <f t="shared" ca="1" si="6"/>
        <v>28346</v>
      </c>
      <c r="P412" s="2" t="s">
        <v>14</v>
      </c>
    </row>
    <row r="413" spans="1:16" x14ac:dyDescent="0.25">
      <c r="A413">
        <v>18577</v>
      </c>
      <c r="B413" s="2" t="s">
        <v>31</v>
      </c>
      <c r="C413" s="2" t="s">
        <v>33</v>
      </c>
      <c r="D413" s="4">
        <v>60000</v>
      </c>
      <c r="E41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3">
        <v>0</v>
      </c>
      <c r="G413" s="2" t="s">
        <v>29</v>
      </c>
      <c r="H413" s="2" t="s">
        <v>20</v>
      </c>
      <c r="I413" t="s">
        <v>14</v>
      </c>
      <c r="J413">
        <v>0</v>
      </c>
      <c r="K413" t="s">
        <v>15</v>
      </c>
      <c r="L413" s="2" t="s">
        <v>30</v>
      </c>
      <c r="M413" s="4">
        <v>40</v>
      </c>
      <c r="N413" s="4" t="str">
        <f>IF(Bike_Data[[#This Row],[Age]]&gt;=54,"Old",IF(Bike_Data[[#This Row],[Age]]&lt;30,"Young Adult","Middle Age"))</f>
        <v>Middle Age</v>
      </c>
      <c r="O413" s="5">
        <f t="shared" ca="1" si="6"/>
        <v>34706</v>
      </c>
      <c r="P413" s="2" t="s">
        <v>17</v>
      </c>
    </row>
    <row r="414" spans="1:16" x14ac:dyDescent="0.25">
      <c r="A414">
        <v>18935</v>
      </c>
      <c r="B414" s="2" t="s">
        <v>31</v>
      </c>
      <c r="C414" s="2" t="s">
        <v>33</v>
      </c>
      <c r="D414" s="4">
        <v>130000</v>
      </c>
      <c r="E41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14">
        <v>0</v>
      </c>
      <c r="G414" s="2" t="s">
        <v>29</v>
      </c>
      <c r="H414" s="2" t="s">
        <v>27</v>
      </c>
      <c r="I414" t="s">
        <v>14</v>
      </c>
      <c r="J414">
        <v>3</v>
      </c>
      <c r="K414" t="s">
        <v>25</v>
      </c>
      <c r="L414" s="2" t="s">
        <v>30</v>
      </c>
      <c r="M414" s="4">
        <v>40</v>
      </c>
      <c r="N414" s="4" t="str">
        <f>IF(Bike_Data[[#This Row],[Age]]&gt;=54,"Old",IF(Bike_Data[[#This Row],[Age]]&lt;30,"Young Adult","Middle Age"))</f>
        <v>Middle Age</v>
      </c>
      <c r="O414" s="5">
        <f t="shared" ca="1" si="6"/>
        <v>26653</v>
      </c>
      <c r="P414" s="2" t="s">
        <v>17</v>
      </c>
    </row>
    <row r="415" spans="1:16" x14ac:dyDescent="0.25">
      <c r="A415">
        <v>28580</v>
      </c>
      <c r="B415" s="2" t="s">
        <v>31</v>
      </c>
      <c r="C415" s="2" t="s">
        <v>33</v>
      </c>
      <c r="D415" s="4">
        <v>80000</v>
      </c>
      <c r="E41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5">
        <v>0</v>
      </c>
      <c r="G415" s="2" t="s">
        <v>29</v>
      </c>
      <c r="H415" s="2" t="s">
        <v>13</v>
      </c>
      <c r="I415" t="s">
        <v>14</v>
      </c>
      <c r="J415">
        <v>0</v>
      </c>
      <c r="K415" t="s">
        <v>25</v>
      </c>
      <c r="L415" s="2" t="s">
        <v>30</v>
      </c>
      <c r="M415" s="4">
        <v>40</v>
      </c>
      <c r="N415" s="4" t="str">
        <f>IF(Bike_Data[[#This Row],[Age]]&gt;=54,"Old",IF(Bike_Data[[#This Row],[Age]]&lt;30,"Young Adult","Middle Age"))</f>
        <v>Middle Age</v>
      </c>
      <c r="O415" s="5">
        <f t="shared" ca="1" si="6"/>
        <v>34298</v>
      </c>
      <c r="P415" s="2" t="s">
        <v>14</v>
      </c>
    </row>
    <row r="416" spans="1:16" x14ac:dyDescent="0.25">
      <c r="A416">
        <v>14443</v>
      </c>
      <c r="B416" s="2" t="s">
        <v>31</v>
      </c>
      <c r="C416" s="2" t="s">
        <v>34</v>
      </c>
      <c r="D416" s="4">
        <v>130000</v>
      </c>
      <c r="E41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16">
        <v>1</v>
      </c>
      <c r="G416" s="2" t="s">
        <v>29</v>
      </c>
      <c r="H416" s="2" t="s">
        <v>27</v>
      </c>
      <c r="I416" t="s">
        <v>14</v>
      </c>
      <c r="J416">
        <v>4</v>
      </c>
      <c r="K416" t="s">
        <v>15</v>
      </c>
      <c r="L416" s="2" t="s">
        <v>30</v>
      </c>
      <c r="M416" s="4">
        <v>40</v>
      </c>
      <c r="N416" s="4" t="str">
        <f>IF(Bike_Data[[#This Row],[Age]]&gt;=54,"Old",IF(Bike_Data[[#This Row],[Age]]&lt;30,"Young Adult","Middle Age"))</f>
        <v>Middle Age</v>
      </c>
      <c r="O416" s="5">
        <f t="shared" ca="1" si="6"/>
        <v>32342</v>
      </c>
      <c r="P416" s="2" t="s">
        <v>17</v>
      </c>
    </row>
    <row r="417" spans="1:16" x14ac:dyDescent="0.25">
      <c r="A417">
        <v>14592</v>
      </c>
      <c r="B417" s="2" t="s">
        <v>31</v>
      </c>
      <c r="C417" s="2" t="s">
        <v>33</v>
      </c>
      <c r="D417" s="4">
        <v>60000</v>
      </c>
      <c r="E41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7">
        <v>0</v>
      </c>
      <c r="G417" s="2" t="s">
        <v>29</v>
      </c>
      <c r="H417" s="2" t="s">
        <v>20</v>
      </c>
      <c r="I417" t="s">
        <v>14</v>
      </c>
      <c r="J417">
        <v>0</v>
      </c>
      <c r="K417" t="s">
        <v>15</v>
      </c>
      <c r="L417" s="2" t="s">
        <v>30</v>
      </c>
      <c r="M417" s="4">
        <v>40</v>
      </c>
      <c r="N417" s="4" t="str">
        <f>IF(Bike_Data[[#This Row],[Age]]&gt;=54,"Old",IF(Bike_Data[[#This Row],[Age]]&lt;30,"Young Adult","Middle Age"))</f>
        <v>Middle Age</v>
      </c>
      <c r="O417" s="5">
        <f t="shared" ca="1" si="6"/>
        <v>36528</v>
      </c>
      <c r="P417" s="2" t="s">
        <v>17</v>
      </c>
    </row>
    <row r="418" spans="1:16" x14ac:dyDescent="0.25">
      <c r="A418">
        <v>23461</v>
      </c>
      <c r="B418" s="2" t="s">
        <v>31</v>
      </c>
      <c r="C418" s="2" t="s">
        <v>33</v>
      </c>
      <c r="D418" s="4">
        <v>90000</v>
      </c>
      <c r="E41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8">
        <v>5</v>
      </c>
      <c r="G418" s="2" t="s">
        <v>18</v>
      </c>
      <c r="H418" s="2" t="s">
        <v>20</v>
      </c>
      <c r="I418" t="s">
        <v>14</v>
      </c>
      <c r="J418">
        <v>3</v>
      </c>
      <c r="K418" t="s">
        <v>21</v>
      </c>
      <c r="L418" s="2" t="s">
        <v>30</v>
      </c>
      <c r="M418" s="4">
        <v>40</v>
      </c>
      <c r="N418" s="4" t="str">
        <f>IF(Bike_Data[[#This Row],[Age]]&gt;=54,"Old",IF(Bike_Data[[#This Row],[Age]]&lt;30,"Young Adult","Middle Age"))</f>
        <v>Middle Age</v>
      </c>
      <c r="O418" s="5">
        <f t="shared" ca="1" si="6"/>
        <v>33003</v>
      </c>
      <c r="P418" s="2" t="s">
        <v>17</v>
      </c>
    </row>
    <row r="419" spans="1:16" x14ac:dyDescent="0.25">
      <c r="A419">
        <v>27198</v>
      </c>
      <c r="B419" s="2" t="s">
        <v>32</v>
      </c>
      <c r="C419" s="2" t="s">
        <v>33</v>
      </c>
      <c r="D419" s="4">
        <v>80000</v>
      </c>
      <c r="E41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19">
        <v>0</v>
      </c>
      <c r="G419" s="2" t="s">
        <v>29</v>
      </c>
      <c r="H419" s="2" t="s">
        <v>13</v>
      </c>
      <c r="I419" t="s">
        <v>17</v>
      </c>
      <c r="J419">
        <v>0</v>
      </c>
      <c r="K419" t="s">
        <v>15</v>
      </c>
      <c r="L419" s="2" t="s">
        <v>30</v>
      </c>
      <c r="M419" s="4">
        <v>40</v>
      </c>
      <c r="N419" s="4" t="str">
        <f>IF(Bike_Data[[#This Row],[Age]]&gt;=54,"Old",IF(Bike_Data[[#This Row],[Age]]&lt;30,"Young Adult","Middle Age"))</f>
        <v>Middle Age</v>
      </c>
      <c r="O419" s="5">
        <f t="shared" ca="1" si="6"/>
        <v>28226</v>
      </c>
      <c r="P419" s="2" t="s">
        <v>17</v>
      </c>
    </row>
    <row r="420" spans="1:16" x14ac:dyDescent="0.25">
      <c r="A420">
        <v>18952</v>
      </c>
      <c r="B420" s="2" t="s">
        <v>31</v>
      </c>
      <c r="C420" s="2" t="s">
        <v>33</v>
      </c>
      <c r="D420" s="4">
        <v>100000</v>
      </c>
      <c r="E42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20">
        <v>4</v>
      </c>
      <c r="G420" s="2" t="s">
        <v>12</v>
      </c>
      <c r="H420" s="2" t="s">
        <v>27</v>
      </c>
      <c r="I420" t="s">
        <v>14</v>
      </c>
      <c r="J420">
        <v>4</v>
      </c>
      <c r="K420" t="s">
        <v>15</v>
      </c>
      <c r="L420" s="2" t="s">
        <v>30</v>
      </c>
      <c r="M420" s="4">
        <v>40</v>
      </c>
      <c r="N420" s="4" t="str">
        <f>IF(Bike_Data[[#This Row],[Age]]&gt;=54,"Old",IF(Bike_Data[[#This Row],[Age]]&lt;30,"Young Adult","Middle Age"))</f>
        <v>Middle Age</v>
      </c>
      <c r="O420" s="5">
        <f t="shared" ca="1" si="6"/>
        <v>29279</v>
      </c>
      <c r="P420" s="2" t="s">
        <v>17</v>
      </c>
    </row>
    <row r="421" spans="1:16" x14ac:dyDescent="0.25">
      <c r="A421">
        <v>12922</v>
      </c>
      <c r="B421" s="2" t="s">
        <v>32</v>
      </c>
      <c r="C421" s="2" t="s">
        <v>33</v>
      </c>
      <c r="D421" s="4">
        <v>60000</v>
      </c>
      <c r="E42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21">
        <v>3</v>
      </c>
      <c r="G421" s="2" t="s">
        <v>12</v>
      </c>
      <c r="H421" s="2" t="s">
        <v>13</v>
      </c>
      <c r="I421" t="s">
        <v>14</v>
      </c>
      <c r="J421">
        <v>0</v>
      </c>
      <c r="K421" t="s">
        <v>21</v>
      </c>
      <c r="L421" s="2" t="s">
        <v>30</v>
      </c>
      <c r="M421" s="4">
        <v>40</v>
      </c>
      <c r="N421" s="4" t="str">
        <f>IF(Bike_Data[[#This Row],[Age]]&gt;=54,"Old",IF(Bike_Data[[#This Row],[Age]]&lt;30,"Young Adult","Middle Age"))</f>
        <v>Middle Age</v>
      </c>
      <c r="O421" s="5">
        <f t="shared" ca="1" si="6"/>
        <v>28356</v>
      </c>
      <c r="P421" s="2" t="s">
        <v>14</v>
      </c>
    </row>
    <row r="422" spans="1:16" x14ac:dyDescent="0.25">
      <c r="A422">
        <v>23197</v>
      </c>
      <c r="B422" s="2" t="s">
        <v>31</v>
      </c>
      <c r="C422" s="2" t="s">
        <v>34</v>
      </c>
      <c r="D422" s="4">
        <v>50000</v>
      </c>
      <c r="E42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22">
        <v>3</v>
      </c>
      <c r="G422" s="2" t="s">
        <v>12</v>
      </c>
      <c r="H422" s="2" t="s">
        <v>13</v>
      </c>
      <c r="I422" t="s">
        <v>14</v>
      </c>
      <c r="J422">
        <v>2</v>
      </c>
      <c r="K422" t="s">
        <v>21</v>
      </c>
      <c r="L422" s="2" t="s">
        <v>30</v>
      </c>
      <c r="M422" s="4">
        <v>40</v>
      </c>
      <c r="N422" s="4" t="str">
        <f>IF(Bike_Data[[#This Row],[Age]]&gt;=54,"Old",IF(Bike_Data[[#This Row],[Age]]&lt;30,"Young Adult","Middle Age"))</f>
        <v>Middle Age</v>
      </c>
      <c r="O422" s="5">
        <f t="shared" ca="1" si="6"/>
        <v>29802</v>
      </c>
      <c r="P422" s="2" t="s">
        <v>17</v>
      </c>
    </row>
    <row r="423" spans="1:16" x14ac:dyDescent="0.25">
      <c r="A423">
        <v>28858</v>
      </c>
      <c r="B423" s="2" t="s">
        <v>32</v>
      </c>
      <c r="C423" s="2" t="s">
        <v>34</v>
      </c>
      <c r="D423" s="4">
        <v>80000</v>
      </c>
      <c r="E42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23">
        <v>3</v>
      </c>
      <c r="G423" s="2" t="s">
        <v>12</v>
      </c>
      <c r="H423" s="2" t="s">
        <v>13</v>
      </c>
      <c r="I423" t="s">
        <v>14</v>
      </c>
      <c r="J423">
        <v>0</v>
      </c>
      <c r="K423" t="s">
        <v>21</v>
      </c>
      <c r="L423" s="2" t="s">
        <v>30</v>
      </c>
      <c r="M423" s="4">
        <v>40</v>
      </c>
      <c r="N423" s="4" t="str">
        <f>IF(Bike_Data[[#This Row],[Age]]&gt;=54,"Old",IF(Bike_Data[[#This Row],[Age]]&lt;30,"Young Adult","Middle Age"))</f>
        <v>Middle Age</v>
      </c>
      <c r="O423" s="5">
        <f t="shared" ca="1" si="6"/>
        <v>28473</v>
      </c>
      <c r="P423" s="2" t="s">
        <v>17</v>
      </c>
    </row>
    <row r="424" spans="1:16" x14ac:dyDescent="0.25">
      <c r="A424">
        <v>22719</v>
      </c>
      <c r="B424" s="2" t="s">
        <v>32</v>
      </c>
      <c r="C424" s="2" t="s">
        <v>34</v>
      </c>
      <c r="D424" s="4">
        <v>110000</v>
      </c>
      <c r="E42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24">
        <v>3</v>
      </c>
      <c r="G424" s="2" t="s">
        <v>12</v>
      </c>
      <c r="H424" s="2" t="s">
        <v>27</v>
      </c>
      <c r="I424" t="s">
        <v>14</v>
      </c>
      <c r="J424">
        <v>4</v>
      </c>
      <c r="K424" t="s">
        <v>21</v>
      </c>
      <c r="L424" s="2" t="s">
        <v>30</v>
      </c>
      <c r="M424" s="4">
        <v>40</v>
      </c>
      <c r="N424" s="4" t="str">
        <f>IF(Bike_Data[[#This Row],[Age]]&gt;=54,"Old",IF(Bike_Data[[#This Row],[Age]]&lt;30,"Young Adult","Middle Age"))</f>
        <v>Middle Age</v>
      </c>
      <c r="O424" s="5">
        <f t="shared" ca="1" si="6"/>
        <v>35741</v>
      </c>
      <c r="P424" s="2" t="s">
        <v>14</v>
      </c>
    </row>
    <row r="425" spans="1:16" x14ac:dyDescent="0.25">
      <c r="A425">
        <v>21693</v>
      </c>
      <c r="B425" s="2" t="s">
        <v>32</v>
      </c>
      <c r="C425" s="2" t="s">
        <v>33</v>
      </c>
      <c r="D425" s="4">
        <v>60000</v>
      </c>
      <c r="E42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25">
        <v>0</v>
      </c>
      <c r="G425" s="2" t="s">
        <v>29</v>
      </c>
      <c r="H425" s="2" t="s">
        <v>13</v>
      </c>
      <c r="I425" t="s">
        <v>17</v>
      </c>
      <c r="J425">
        <v>0</v>
      </c>
      <c r="K425" t="s">
        <v>15</v>
      </c>
      <c r="L425" s="2" t="s">
        <v>30</v>
      </c>
      <c r="M425" s="4">
        <v>40</v>
      </c>
      <c r="N425" s="4" t="str">
        <f>IF(Bike_Data[[#This Row],[Age]]&gt;=54,"Old",IF(Bike_Data[[#This Row],[Age]]&lt;30,"Young Adult","Middle Age"))</f>
        <v>Middle Age</v>
      </c>
      <c r="O425" s="5">
        <f t="shared" ca="1" si="6"/>
        <v>35060</v>
      </c>
      <c r="P425" s="2" t="s">
        <v>17</v>
      </c>
    </row>
    <row r="426" spans="1:16" x14ac:dyDescent="0.25">
      <c r="A426">
        <v>27756</v>
      </c>
      <c r="B426" s="2" t="s">
        <v>32</v>
      </c>
      <c r="C426" s="2" t="s">
        <v>33</v>
      </c>
      <c r="D426" s="4">
        <v>50000</v>
      </c>
      <c r="E42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26">
        <v>3</v>
      </c>
      <c r="G426" s="2" t="s">
        <v>12</v>
      </c>
      <c r="H426" s="2" t="s">
        <v>13</v>
      </c>
      <c r="I426" t="s">
        <v>17</v>
      </c>
      <c r="J426">
        <v>1</v>
      </c>
      <c r="K426" t="s">
        <v>15</v>
      </c>
      <c r="L426" s="2" t="s">
        <v>30</v>
      </c>
      <c r="M426" s="4">
        <v>40</v>
      </c>
      <c r="N426" s="4" t="str">
        <f>IF(Bike_Data[[#This Row],[Age]]&gt;=54,"Old",IF(Bike_Data[[#This Row],[Age]]&lt;30,"Young Adult","Middle Age"))</f>
        <v>Middle Age</v>
      </c>
      <c r="O426" s="5">
        <f t="shared" ca="1" si="6"/>
        <v>36321</v>
      </c>
      <c r="P426" s="2" t="s">
        <v>17</v>
      </c>
    </row>
    <row r="427" spans="1:16" x14ac:dyDescent="0.25">
      <c r="A427">
        <v>18594</v>
      </c>
      <c r="B427" s="2" t="s">
        <v>32</v>
      </c>
      <c r="C427" s="2" t="s">
        <v>33</v>
      </c>
      <c r="D427" s="4">
        <v>80000</v>
      </c>
      <c r="E42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27">
        <v>3</v>
      </c>
      <c r="G427" s="2" t="s">
        <v>12</v>
      </c>
      <c r="H427" s="2" t="s">
        <v>13</v>
      </c>
      <c r="I427" t="s">
        <v>14</v>
      </c>
      <c r="J427">
        <v>3</v>
      </c>
      <c r="K427" t="s">
        <v>37</v>
      </c>
      <c r="L427" s="2" t="s">
        <v>30</v>
      </c>
      <c r="M427" s="4">
        <v>40</v>
      </c>
      <c r="N427" s="4" t="str">
        <f>IF(Bike_Data[[#This Row],[Age]]&gt;=54,"Old",IF(Bike_Data[[#This Row],[Age]]&lt;30,"Young Adult","Middle Age"))</f>
        <v>Middle Age</v>
      </c>
      <c r="O427" s="5">
        <f t="shared" ca="1" si="6"/>
        <v>30199</v>
      </c>
      <c r="P427" s="2" t="s">
        <v>14</v>
      </c>
    </row>
    <row r="428" spans="1:16" x14ac:dyDescent="0.25">
      <c r="A428">
        <v>24381</v>
      </c>
      <c r="B428" s="2" t="s">
        <v>32</v>
      </c>
      <c r="C428" s="2" t="s">
        <v>34</v>
      </c>
      <c r="D428" s="4">
        <v>70000</v>
      </c>
      <c r="E42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28">
        <v>0</v>
      </c>
      <c r="G428" s="2" t="s">
        <v>12</v>
      </c>
      <c r="H428" s="2" t="s">
        <v>20</v>
      </c>
      <c r="I428" t="s">
        <v>14</v>
      </c>
      <c r="J428">
        <v>1</v>
      </c>
      <c r="K428" t="s">
        <v>22</v>
      </c>
      <c r="L428" s="2" t="s">
        <v>23</v>
      </c>
      <c r="M428" s="4">
        <v>41</v>
      </c>
      <c r="N428" s="4" t="str">
        <f>IF(Bike_Data[[#This Row],[Age]]&gt;=54,"Old",IF(Bike_Data[[#This Row],[Age]]&lt;30,"Young Adult","Middle Age"))</f>
        <v>Middle Age</v>
      </c>
      <c r="O428" s="5">
        <f t="shared" ca="1" si="6"/>
        <v>27079</v>
      </c>
      <c r="P428" s="2" t="s">
        <v>14</v>
      </c>
    </row>
    <row r="429" spans="1:16" x14ac:dyDescent="0.25">
      <c r="A429">
        <v>28380</v>
      </c>
      <c r="B429" s="2" t="s">
        <v>32</v>
      </c>
      <c r="C429" s="2" t="s">
        <v>33</v>
      </c>
      <c r="D429" s="4">
        <v>10000</v>
      </c>
      <c r="E42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29">
        <v>5</v>
      </c>
      <c r="G429" s="2" t="s">
        <v>28</v>
      </c>
      <c r="H429" s="2" t="s">
        <v>24</v>
      </c>
      <c r="I429" t="s">
        <v>17</v>
      </c>
      <c r="J429">
        <v>2</v>
      </c>
      <c r="K429" t="s">
        <v>15</v>
      </c>
      <c r="L429" s="2" t="s">
        <v>16</v>
      </c>
      <c r="M429" s="4">
        <v>41</v>
      </c>
      <c r="N429" s="4" t="str">
        <f>IF(Bike_Data[[#This Row],[Age]]&gt;=54,"Old",IF(Bike_Data[[#This Row],[Age]]&lt;30,"Young Adult","Middle Age"))</f>
        <v>Middle Age</v>
      </c>
      <c r="O429" s="5">
        <f t="shared" ca="1" si="6"/>
        <v>32636</v>
      </c>
      <c r="P429" s="2" t="s">
        <v>17</v>
      </c>
    </row>
    <row r="430" spans="1:16" x14ac:dyDescent="0.25">
      <c r="A430">
        <v>29380</v>
      </c>
      <c r="B430" s="2" t="s">
        <v>31</v>
      </c>
      <c r="C430" s="2" t="s">
        <v>33</v>
      </c>
      <c r="D430" s="4">
        <v>20000</v>
      </c>
      <c r="E4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30">
        <v>3</v>
      </c>
      <c r="G430" s="2" t="s">
        <v>26</v>
      </c>
      <c r="H430" s="2" t="s">
        <v>24</v>
      </c>
      <c r="I430" t="s">
        <v>14</v>
      </c>
      <c r="J430">
        <v>0</v>
      </c>
      <c r="K430" t="s">
        <v>15</v>
      </c>
      <c r="L430" s="2" t="s">
        <v>16</v>
      </c>
      <c r="M430" s="4">
        <v>41</v>
      </c>
      <c r="N430" s="4" t="str">
        <f>IF(Bike_Data[[#This Row],[Age]]&gt;=54,"Old",IF(Bike_Data[[#This Row],[Age]]&lt;30,"Young Adult","Middle Age"))</f>
        <v>Middle Age</v>
      </c>
      <c r="O430" s="5">
        <f t="shared" ca="1" si="6"/>
        <v>31850</v>
      </c>
      <c r="P430" s="2" t="s">
        <v>14</v>
      </c>
    </row>
    <row r="431" spans="1:16" x14ac:dyDescent="0.25">
      <c r="A431">
        <v>16185</v>
      </c>
      <c r="B431" s="2" t="s">
        <v>32</v>
      </c>
      <c r="C431" s="2" t="s">
        <v>34</v>
      </c>
      <c r="D431" s="4">
        <v>60000</v>
      </c>
      <c r="E43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31">
        <v>4</v>
      </c>
      <c r="G431" s="2" t="s">
        <v>12</v>
      </c>
      <c r="H431" s="2" t="s">
        <v>20</v>
      </c>
      <c r="I431" t="s">
        <v>14</v>
      </c>
      <c r="J431">
        <v>3</v>
      </c>
      <c r="K431" t="s">
        <v>37</v>
      </c>
      <c r="L431" s="2" t="s">
        <v>23</v>
      </c>
      <c r="M431" s="4">
        <v>41</v>
      </c>
      <c r="N431" s="4" t="str">
        <f>IF(Bike_Data[[#This Row],[Age]]&gt;=54,"Old",IF(Bike_Data[[#This Row],[Age]]&lt;30,"Young Adult","Middle Age"))</f>
        <v>Middle Age</v>
      </c>
      <c r="O431" s="5">
        <f t="shared" ca="1" si="6"/>
        <v>28518</v>
      </c>
      <c r="P431" s="2" t="s">
        <v>17</v>
      </c>
    </row>
    <row r="432" spans="1:16" x14ac:dyDescent="0.25">
      <c r="A432">
        <v>14798</v>
      </c>
      <c r="B432" s="2" t="s">
        <v>32</v>
      </c>
      <c r="C432" s="2" t="s">
        <v>33</v>
      </c>
      <c r="D432" s="4">
        <v>10000</v>
      </c>
      <c r="E43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32">
        <v>4</v>
      </c>
      <c r="G432" s="2" t="s">
        <v>28</v>
      </c>
      <c r="H432" s="2" t="s">
        <v>24</v>
      </c>
      <c r="I432" t="s">
        <v>14</v>
      </c>
      <c r="J432">
        <v>2</v>
      </c>
      <c r="K432" t="s">
        <v>15</v>
      </c>
      <c r="L432" s="2" t="s">
        <v>16</v>
      </c>
      <c r="M432" s="4">
        <v>41</v>
      </c>
      <c r="N432" s="4" t="str">
        <f>IF(Bike_Data[[#This Row],[Age]]&gt;=54,"Old",IF(Bike_Data[[#This Row],[Age]]&lt;30,"Young Adult","Middle Age"))</f>
        <v>Middle Age</v>
      </c>
      <c r="O432" s="5">
        <f t="shared" ca="1" si="6"/>
        <v>28340</v>
      </c>
      <c r="P432" s="2" t="s">
        <v>14</v>
      </c>
    </row>
    <row r="433" spans="1:16" x14ac:dyDescent="0.25">
      <c r="A433">
        <v>14058</v>
      </c>
      <c r="B433" s="2" t="s">
        <v>32</v>
      </c>
      <c r="C433" s="2" t="s">
        <v>34</v>
      </c>
      <c r="D433" s="4">
        <v>70000</v>
      </c>
      <c r="E43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33">
        <v>0</v>
      </c>
      <c r="G433" s="2" t="s">
        <v>12</v>
      </c>
      <c r="H433" s="2" t="s">
        <v>20</v>
      </c>
      <c r="I433" t="s">
        <v>17</v>
      </c>
      <c r="J433">
        <v>1</v>
      </c>
      <c r="K433" t="s">
        <v>22</v>
      </c>
      <c r="L433" s="2" t="s">
        <v>23</v>
      </c>
      <c r="M433" s="4">
        <v>41</v>
      </c>
      <c r="N433" s="4" t="str">
        <f>IF(Bike_Data[[#This Row],[Age]]&gt;=54,"Old",IF(Bike_Data[[#This Row],[Age]]&lt;30,"Young Adult","Middle Age"))</f>
        <v>Middle Age</v>
      </c>
      <c r="O433" s="5">
        <f t="shared" ca="1" si="6"/>
        <v>28010</v>
      </c>
      <c r="P433" s="2" t="s">
        <v>14</v>
      </c>
    </row>
    <row r="434" spans="1:16" x14ac:dyDescent="0.25">
      <c r="A434">
        <v>26032</v>
      </c>
      <c r="B434" s="2" t="s">
        <v>31</v>
      </c>
      <c r="C434" s="2" t="s">
        <v>33</v>
      </c>
      <c r="D434" s="4">
        <v>70000</v>
      </c>
      <c r="E43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34">
        <v>5</v>
      </c>
      <c r="G434" s="2" t="s">
        <v>12</v>
      </c>
      <c r="H434" s="2" t="s">
        <v>20</v>
      </c>
      <c r="I434" t="s">
        <v>14</v>
      </c>
      <c r="J434">
        <v>4</v>
      </c>
      <c r="K434" t="s">
        <v>37</v>
      </c>
      <c r="L434" s="2" t="s">
        <v>23</v>
      </c>
      <c r="M434" s="4">
        <v>41</v>
      </c>
      <c r="N434" s="4" t="str">
        <f>IF(Bike_Data[[#This Row],[Age]]&gt;=54,"Old",IF(Bike_Data[[#This Row],[Age]]&lt;30,"Young Adult","Middle Age"))</f>
        <v>Middle Age</v>
      </c>
      <c r="O434" s="5">
        <f t="shared" ca="1" si="6"/>
        <v>37222</v>
      </c>
      <c r="P434" s="2" t="s">
        <v>17</v>
      </c>
    </row>
    <row r="435" spans="1:16" x14ac:dyDescent="0.25">
      <c r="A435">
        <v>21213</v>
      </c>
      <c r="B435" s="2" t="s">
        <v>32</v>
      </c>
      <c r="C435" s="2" t="s">
        <v>34</v>
      </c>
      <c r="D435" s="4">
        <v>70000</v>
      </c>
      <c r="E43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35">
        <v>0</v>
      </c>
      <c r="G435" s="2" t="s">
        <v>12</v>
      </c>
      <c r="H435" s="2" t="s">
        <v>20</v>
      </c>
      <c r="I435" t="s">
        <v>17</v>
      </c>
      <c r="J435">
        <v>1</v>
      </c>
      <c r="K435" t="s">
        <v>22</v>
      </c>
      <c r="L435" s="2" t="s">
        <v>23</v>
      </c>
      <c r="M435" s="4">
        <v>41</v>
      </c>
      <c r="N435" s="4" t="str">
        <f>IF(Bike_Data[[#This Row],[Age]]&gt;=54,"Old",IF(Bike_Data[[#This Row],[Age]]&lt;30,"Young Adult","Middle Age"))</f>
        <v>Middle Age</v>
      </c>
      <c r="O435" s="5">
        <f t="shared" ca="1" si="6"/>
        <v>35662</v>
      </c>
      <c r="P435" s="2" t="s">
        <v>17</v>
      </c>
    </row>
    <row r="436" spans="1:16" x14ac:dyDescent="0.25">
      <c r="A436">
        <v>16410</v>
      </c>
      <c r="B436" s="2" t="s">
        <v>32</v>
      </c>
      <c r="C436" s="2" t="s">
        <v>33</v>
      </c>
      <c r="D436" s="4">
        <v>10000</v>
      </c>
      <c r="E43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36">
        <v>4</v>
      </c>
      <c r="G436" s="2" t="s">
        <v>28</v>
      </c>
      <c r="H436" s="2" t="s">
        <v>24</v>
      </c>
      <c r="I436" t="s">
        <v>14</v>
      </c>
      <c r="J436">
        <v>2</v>
      </c>
      <c r="K436" t="s">
        <v>15</v>
      </c>
      <c r="L436" s="2" t="s">
        <v>16</v>
      </c>
      <c r="M436" s="4">
        <v>41</v>
      </c>
      <c r="N436" s="4" t="str">
        <f>IF(Bike_Data[[#This Row],[Age]]&gt;=54,"Old",IF(Bike_Data[[#This Row],[Age]]&lt;30,"Young Adult","Middle Age"))</f>
        <v>Middle Age</v>
      </c>
      <c r="O436" s="5">
        <f t="shared" ca="1" si="6"/>
        <v>32655</v>
      </c>
      <c r="P436" s="2" t="s">
        <v>14</v>
      </c>
    </row>
    <row r="437" spans="1:16" x14ac:dyDescent="0.25">
      <c r="A437">
        <v>13122</v>
      </c>
      <c r="B437" s="2" t="s">
        <v>31</v>
      </c>
      <c r="C437" s="2" t="s">
        <v>33</v>
      </c>
      <c r="D437" s="4">
        <v>80000</v>
      </c>
      <c r="E43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37">
        <v>0</v>
      </c>
      <c r="G437" s="2" t="s">
        <v>12</v>
      </c>
      <c r="H437" s="2" t="s">
        <v>20</v>
      </c>
      <c r="I437" t="s">
        <v>14</v>
      </c>
      <c r="J437">
        <v>1</v>
      </c>
      <c r="K437" t="s">
        <v>25</v>
      </c>
      <c r="L437" s="2" t="s">
        <v>23</v>
      </c>
      <c r="M437" s="4">
        <v>41</v>
      </c>
      <c r="N437" s="4" t="str">
        <f>IF(Bike_Data[[#This Row],[Age]]&gt;=54,"Old",IF(Bike_Data[[#This Row],[Age]]&lt;30,"Young Adult","Middle Age"))</f>
        <v>Middle Age</v>
      </c>
      <c r="O437" s="5">
        <f t="shared" ca="1" si="6"/>
        <v>37914</v>
      </c>
      <c r="P437" s="2" t="s">
        <v>14</v>
      </c>
    </row>
    <row r="438" spans="1:16" x14ac:dyDescent="0.25">
      <c r="A438">
        <v>26150</v>
      </c>
      <c r="B438" s="2" t="s">
        <v>32</v>
      </c>
      <c r="C438" s="2" t="s">
        <v>33</v>
      </c>
      <c r="D438" s="4">
        <v>70000</v>
      </c>
      <c r="E43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38">
        <v>0</v>
      </c>
      <c r="G438" s="2" t="s">
        <v>12</v>
      </c>
      <c r="H438" s="2" t="s">
        <v>20</v>
      </c>
      <c r="I438" t="s">
        <v>17</v>
      </c>
      <c r="J438">
        <v>1</v>
      </c>
      <c r="K438" t="s">
        <v>15</v>
      </c>
      <c r="L438" s="2" t="s">
        <v>23</v>
      </c>
      <c r="M438" s="4">
        <v>41</v>
      </c>
      <c r="N438" s="4" t="str">
        <f>IF(Bike_Data[[#This Row],[Age]]&gt;=54,"Old",IF(Bike_Data[[#This Row],[Age]]&lt;30,"Young Adult","Middle Age"))</f>
        <v>Middle Age</v>
      </c>
      <c r="O438" s="5">
        <f t="shared" ca="1" si="6"/>
        <v>37501</v>
      </c>
      <c r="P438" s="2" t="s">
        <v>14</v>
      </c>
    </row>
    <row r="439" spans="1:16" x14ac:dyDescent="0.25">
      <c r="A439">
        <v>18012</v>
      </c>
      <c r="B439" s="2" t="s">
        <v>31</v>
      </c>
      <c r="C439" s="2" t="s">
        <v>33</v>
      </c>
      <c r="D439" s="4">
        <v>40000</v>
      </c>
      <c r="E43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39">
        <v>1</v>
      </c>
      <c r="G439" s="2" t="s">
        <v>12</v>
      </c>
      <c r="H439" s="2" t="s">
        <v>13</v>
      </c>
      <c r="I439" t="s">
        <v>14</v>
      </c>
      <c r="J439">
        <v>0</v>
      </c>
      <c r="K439" t="s">
        <v>15</v>
      </c>
      <c r="L439" s="2" t="s">
        <v>16</v>
      </c>
      <c r="M439" s="4">
        <v>41</v>
      </c>
      <c r="N439" s="4" t="str">
        <f>IF(Bike_Data[[#This Row],[Age]]&gt;=54,"Old",IF(Bike_Data[[#This Row],[Age]]&lt;30,"Young Adult","Middle Age"))</f>
        <v>Middle Age</v>
      </c>
      <c r="O439" s="5">
        <f t="shared" ca="1" si="6"/>
        <v>36943</v>
      </c>
      <c r="P439" s="2" t="s">
        <v>17</v>
      </c>
    </row>
    <row r="440" spans="1:16" x14ac:dyDescent="0.25">
      <c r="A440">
        <v>11576</v>
      </c>
      <c r="B440" s="2" t="s">
        <v>31</v>
      </c>
      <c r="C440" s="2" t="s">
        <v>34</v>
      </c>
      <c r="D440" s="4">
        <v>30000</v>
      </c>
      <c r="E44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40">
        <v>1</v>
      </c>
      <c r="G440" s="2" t="s">
        <v>12</v>
      </c>
      <c r="H440" s="2" t="s">
        <v>13</v>
      </c>
      <c r="I440" t="s">
        <v>14</v>
      </c>
      <c r="J440">
        <v>2</v>
      </c>
      <c r="K440" t="s">
        <v>15</v>
      </c>
      <c r="L440" s="2" t="s">
        <v>16</v>
      </c>
      <c r="M440" s="4">
        <v>41</v>
      </c>
      <c r="N440" s="4" t="str">
        <f>IF(Bike_Data[[#This Row],[Age]]&gt;=54,"Old",IF(Bike_Data[[#This Row],[Age]]&lt;30,"Young Adult","Middle Age"))</f>
        <v>Middle Age</v>
      </c>
      <c r="O440" s="5">
        <f t="shared" ca="1" si="6"/>
        <v>34881</v>
      </c>
      <c r="P440" s="2" t="s">
        <v>14</v>
      </c>
    </row>
    <row r="441" spans="1:16" x14ac:dyDescent="0.25">
      <c r="A441">
        <v>11585</v>
      </c>
      <c r="B441" s="2" t="s">
        <v>31</v>
      </c>
      <c r="C441" s="2" t="s">
        <v>33</v>
      </c>
      <c r="D441" s="4">
        <v>40000</v>
      </c>
      <c r="E44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41">
        <v>1</v>
      </c>
      <c r="G441" s="2" t="s">
        <v>12</v>
      </c>
      <c r="H441" s="2" t="s">
        <v>13</v>
      </c>
      <c r="I441" t="s">
        <v>14</v>
      </c>
      <c r="J441">
        <v>0</v>
      </c>
      <c r="K441" t="s">
        <v>15</v>
      </c>
      <c r="L441" s="2" t="s">
        <v>16</v>
      </c>
      <c r="M441" s="4">
        <v>41</v>
      </c>
      <c r="N441" s="4" t="str">
        <f>IF(Bike_Data[[#This Row],[Age]]&gt;=54,"Old",IF(Bike_Data[[#This Row],[Age]]&lt;30,"Young Adult","Middle Age"))</f>
        <v>Middle Age</v>
      </c>
      <c r="O441" s="5">
        <f t="shared" ca="1" si="6"/>
        <v>31719</v>
      </c>
      <c r="P441" s="2" t="s">
        <v>17</v>
      </c>
    </row>
    <row r="442" spans="1:16" x14ac:dyDescent="0.25">
      <c r="A442">
        <v>23893</v>
      </c>
      <c r="B442" s="2" t="s">
        <v>31</v>
      </c>
      <c r="C442" s="2" t="s">
        <v>34</v>
      </c>
      <c r="D442" s="4">
        <v>50000</v>
      </c>
      <c r="E44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42">
        <v>3</v>
      </c>
      <c r="G442" s="2" t="s">
        <v>12</v>
      </c>
      <c r="H442" s="2" t="s">
        <v>13</v>
      </c>
      <c r="I442" t="s">
        <v>14</v>
      </c>
      <c r="J442">
        <v>3</v>
      </c>
      <c r="K442" t="s">
        <v>37</v>
      </c>
      <c r="L442" s="2" t="s">
        <v>30</v>
      </c>
      <c r="M442" s="4">
        <v>41</v>
      </c>
      <c r="N442" s="4" t="str">
        <f>IF(Bike_Data[[#This Row],[Age]]&gt;=54,"Old",IF(Bike_Data[[#This Row],[Age]]&lt;30,"Young Adult","Middle Age"))</f>
        <v>Middle Age</v>
      </c>
      <c r="O442" s="5">
        <f t="shared" ca="1" si="6"/>
        <v>35043</v>
      </c>
      <c r="P442" s="2" t="s">
        <v>17</v>
      </c>
    </row>
    <row r="443" spans="1:16" x14ac:dyDescent="0.25">
      <c r="A443">
        <v>13907</v>
      </c>
      <c r="B443" s="2" t="s">
        <v>32</v>
      </c>
      <c r="C443" s="2" t="s">
        <v>33</v>
      </c>
      <c r="D443" s="4">
        <v>80000</v>
      </c>
      <c r="E44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43">
        <v>3</v>
      </c>
      <c r="G443" s="2" t="s">
        <v>12</v>
      </c>
      <c r="H443" s="2" t="s">
        <v>13</v>
      </c>
      <c r="I443" t="s">
        <v>14</v>
      </c>
      <c r="J443">
        <v>1</v>
      </c>
      <c r="K443" t="s">
        <v>15</v>
      </c>
      <c r="L443" s="2" t="s">
        <v>30</v>
      </c>
      <c r="M443" s="4">
        <v>41</v>
      </c>
      <c r="N443" s="4" t="str">
        <f>IF(Bike_Data[[#This Row],[Age]]&gt;=54,"Old",IF(Bike_Data[[#This Row],[Age]]&lt;30,"Young Adult","Middle Age"))</f>
        <v>Middle Age</v>
      </c>
      <c r="O443" s="5">
        <f t="shared" ca="1" si="6"/>
        <v>33157</v>
      </c>
      <c r="P443" s="2" t="s">
        <v>14</v>
      </c>
    </row>
    <row r="444" spans="1:16" x14ac:dyDescent="0.25">
      <c r="A444">
        <v>23200</v>
      </c>
      <c r="B444" s="2" t="s">
        <v>31</v>
      </c>
      <c r="C444" s="2" t="s">
        <v>33</v>
      </c>
      <c r="D444" s="4">
        <v>50000</v>
      </c>
      <c r="E44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44">
        <v>3</v>
      </c>
      <c r="G444" s="2" t="s">
        <v>12</v>
      </c>
      <c r="H444" s="2" t="s">
        <v>13</v>
      </c>
      <c r="I444" t="s">
        <v>14</v>
      </c>
      <c r="J444">
        <v>2</v>
      </c>
      <c r="K444" t="s">
        <v>15</v>
      </c>
      <c r="L444" s="2" t="s">
        <v>30</v>
      </c>
      <c r="M444" s="4">
        <v>41</v>
      </c>
      <c r="N444" s="4" t="str">
        <f>IF(Bike_Data[[#This Row],[Age]]&gt;=54,"Old",IF(Bike_Data[[#This Row],[Age]]&lt;30,"Young Adult","Middle Age"))</f>
        <v>Middle Age</v>
      </c>
      <c r="O444" s="5">
        <f t="shared" ca="1" si="6"/>
        <v>30237</v>
      </c>
      <c r="P444" s="2" t="s">
        <v>17</v>
      </c>
    </row>
    <row r="445" spans="1:16" x14ac:dyDescent="0.25">
      <c r="A445">
        <v>24398</v>
      </c>
      <c r="B445" s="2" t="s">
        <v>31</v>
      </c>
      <c r="C445" s="2" t="s">
        <v>34</v>
      </c>
      <c r="D445" s="4">
        <v>130000</v>
      </c>
      <c r="E44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45">
        <v>1</v>
      </c>
      <c r="G445" s="2" t="s">
        <v>29</v>
      </c>
      <c r="H445" s="2" t="s">
        <v>27</v>
      </c>
      <c r="I445" t="s">
        <v>14</v>
      </c>
      <c r="J445">
        <v>4</v>
      </c>
      <c r="K445" t="s">
        <v>15</v>
      </c>
      <c r="L445" s="2" t="s">
        <v>30</v>
      </c>
      <c r="M445" s="4">
        <v>41</v>
      </c>
      <c r="N445" s="4" t="str">
        <f>IF(Bike_Data[[#This Row],[Age]]&gt;=54,"Old",IF(Bike_Data[[#This Row],[Age]]&lt;30,"Young Adult","Middle Age"))</f>
        <v>Middle Age</v>
      </c>
      <c r="O445" s="5">
        <f t="shared" ca="1" si="6"/>
        <v>27915</v>
      </c>
      <c r="P445" s="2" t="s">
        <v>17</v>
      </c>
    </row>
    <row r="446" spans="1:16" x14ac:dyDescent="0.25">
      <c r="A446">
        <v>11259</v>
      </c>
      <c r="B446" s="2" t="s">
        <v>31</v>
      </c>
      <c r="C446" s="2" t="s">
        <v>33</v>
      </c>
      <c r="D446" s="4">
        <v>100000</v>
      </c>
      <c r="E44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46">
        <v>4</v>
      </c>
      <c r="G446" s="2" t="s">
        <v>18</v>
      </c>
      <c r="H446" s="2" t="s">
        <v>20</v>
      </c>
      <c r="I446" t="s">
        <v>14</v>
      </c>
      <c r="J446">
        <v>4</v>
      </c>
      <c r="K446" t="s">
        <v>21</v>
      </c>
      <c r="L446" s="2" t="s">
        <v>30</v>
      </c>
      <c r="M446" s="4">
        <v>41</v>
      </c>
      <c r="N446" s="4" t="str">
        <f>IF(Bike_Data[[#This Row],[Age]]&gt;=54,"Old",IF(Bike_Data[[#This Row],[Age]]&lt;30,"Young Adult","Middle Age"))</f>
        <v>Middle Age</v>
      </c>
      <c r="O446" s="5">
        <f t="shared" ca="1" si="6"/>
        <v>29955</v>
      </c>
      <c r="P446" s="2" t="s">
        <v>14</v>
      </c>
    </row>
    <row r="447" spans="1:16" x14ac:dyDescent="0.25">
      <c r="A447">
        <v>23368</v>
      </c>
      <c r="B447" s="2" t="s">
        <v>31</v>
      </c>
      <c r="C447" s="2" t="s">
        <v>33</v>
      </c>
      <c r="D447" s="4">
        <v>60000</v>
      </c>
      <c r="E44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47">
        <v>5</v>
      </c>
      <c r="G447" s="2" t="s">
        <v>12</v>
      </c>
      <c r="H447" s="2" t="s">
        <v>13</v>
      </c>
      <c r="I447" t="s">
        <v>14</v>
      </c>
      <c r="J447">
        <v>3</v>
      </c>
      <c r="K447" t="s">
        <v>37</v>
      </c>
      <c r="L447" s="2" t="s">
        <v>30</v>
      </c>
      <c r="M447" s="4">
        <v>41</v>
      </c>
      <c r="N447" s="4" t="str">
        <f>IF(Bike_Data[[#This Row],[Age]]&gt;=54,"Old",IF(Bike_Data[[#This Row],[Age]]&lt;30,"Young Adult","Middle Age"))</f>
        <v>Middle Age</v>
      </c>
      <c r="O447" s="5">
        <f t="shared" ca="1" si="6"/>
        <v>35336</v>
      </c>
      <c r="P447" s="2" t="s">
        <v>17</v>
      </c>
    </row>
    <row r="448" spans="1:16" x14ac:dyDescent="0.25">
      <c r="A448">
        <v>18517</v>
      </c>
      <c r="B448" s="2" t="s">
        <v>31</v>
      </c>
      <c r="C448" s="2" t="s">
        <v>34</v>
      </c>
      <c r="D448" s="4">
        <v>100000</v>
      </c>
      <c r="E44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48">
        <v>3</v>
      </c>
      <c r="G448" s="2" t="s">
        <v>12</v>
      </c>
      <c r="H448" s="2" t="s">
        <v>27</v>
      </c>
      <c r="I448" t="s">
        <v>14</v>
      </c>
      <c r="J448">
        <v>4</v>
      </c>
      <c r="K448" t="s">
        <v>15</v>
      </c>
      <c r="L448" s="2" t="s">
        <v>30</v>
      </c>
      <c r="M448" s="4">
        <v>41</v>
      </c>
      <c r="N448" s="4" t="str">
        <f>IF(Bike_Data[[#This Row],[Age]]&gt;=54,"Old",IF(Bike_Data[[#This Row],[Age]]&lt;30,"Young Adult","Middle Age"))</f>
        <v>Middle Age</v>
      </c>
      <c r="O448" s="5">
        <f t="shared" ca="1" si="6"/>
        <v>27606</v>
      </c>
      <c r="P448" s="2" t="s">
        <v>17</v>
      </c>
    </row>
    <row r="449" spans="1:16" x14ac:dyDescent="0.25">
      <c r="A449">
        <v>25970</v>
      </c>
      <c r="B449" s="2" t="s">
        <v>32</v>
      </c>
      <c r="C449" s="2" t="s">
        <v>33</v>
      </c>
      <c r="D449" s="4">
        <v>60000</v>
      </c>
      <c r="E44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49">
        <v>4</v>
      </c>
      <c r="G449" s="2" t="s">
        <v>12</v>
      </c>
      <c r="H449" s="2" t="s">
        <v>13</v>
      </c>
      <c r="I449" t="s">
        <v>17</v>
      </c>
      <c r="J449">
        <v>2</v>
      </c>
      <c r="K449" t="s">
        <v>15</v>
      </c>
      <c r="L449" s="2" t="s">
        <v>30</v>
      </c>
      <c r="M449" s="4">
        <v>41</v>
      </c>
      <c r="N449" s="4" t="str">
        <f>IF(Bike_Data[[#This Row],[Age]]&gt;=54,"Old",IF(Bike_Data[[#This Row],[Age]]&lt;30,"Young Adult","Middle Age"))</f>
        <v>Middle Age</v>
      </c>
      <c r="O449" s="5">
        <f t="shared" ca="1" si="6"/>
        <v>33941</v>
      </c>
      <c r="P449" s="2" t="s">
        <v>14</v>
      </c>
    </row>
    <row r="450" spans="1:16" x14ac:dyDescent="0.25">
      <c r="A450">
        <v>24324</v>
      </c>
      <c r="B450" s="2" t="s">
        <v>32</v>
      </c>
      <c r="C450" s="2" t="s">
        <v>33</v>
      </c>
      <c r="D450" s="4">
        <v>60000</v>
      </c>
      <c r="E45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50">
        <v>4</v>
      </c>
      <c r="G450" s="2" t="s">
        <v>12</v>
      </c>
      <c r="H450" s="2" t="s">
        <v>13</v>
      </c>
      <c r="I450" t="s">
        <v>14</v>
      </c>
      <c r="J450">
        <v>2</v>
      </c>
      <c r="K450" t="s">
        <v>21</v>
      </c>
      <c r="L450" s="2" t="s">
        <v>30</v>
      </c>
      <c r="M450" s="4">
        <v>41</v>
      </c>
      <c r="N450" s="4" t="str">
        <f>IF(Bike_Data[[#This Row],[Age]]&gt;=54,"Old",IF(Bike_Data[[#This Row],[Age]]&lt;30,"Young Adult","Middle Age"))</f>
        <v>Middle Age</v>
      </c>
      <c r="O450" s="5">
        <f t="shared" ca="1" si="6"/>
        <v>36008</v>
      </c>
      <c r="P450" s="2" t="s">
        <v>14</v>
      </c>
    </row>
    <row r="451" spans="1:16" x14ac:dyDescent="0.25">
      <c r="A451">
        <v>17260</v>
      </c>
      <c r="B451" s="2" t="s">
        <v>31</v>
      </c>
      <c r="C451" s="2" t="s">
        <v>34</v>
      </c>
      <c r="D451" s="4">
        <v>90000</v>
      </c>
      <c r="E45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51">
        <v>5</v>
      </c>
      <c r="G451" s="2" t="s">
        <v>18</v>
      </c>
      <c r="H451" s="2" t="s">
        <v>20</v>
      </c>
      <c r="I451" t="s">
        <v>14</v>
      </c>
      <c r="J451">
        <v>3</v>
      </c>
      <c r="K451" t="s">
        <v>15</v>
      </c>
      <c r="L451" s="2" t="s">
        <v>30</v>
      </c>
      <c r="M451" s="4">
        <v>41</v>
      </c>
      <c r="N451" s="4" t="str">
        <f>IF(Bike_Data[[#This Row],[Age]]&gt;=54,"Old",IF(Bike_Data[[#This Row],[Age]]&lt;30,"Young Adult","Middle Age"))</f>
        <v>Middle Age</v>
      </c>
      <c r="O451" s="5">
        <f t="shared" ref="O451:O514" ca="1" si="7">RANDBETWEEN(DATE(1971,1,1), DATE(2003,12,31))</f>
        <v>37627</v>
      </c>
      <c r="P451" s="2" t="s">
        <v>17</v>
      </c>
    </row>
    <row r="452" spans="1:16" x14ac:dyDescent="0.25">
      <c r="A452">
        <v>13911</v>
      </c>
      <c r="B452" s="2" t="s">
        <v>32</v>
      </c>
      <c r="C452" s="2" t="s">
        <v>33</v>
      </c>
      <c r="D452" s="4">
        <v>80000</v>
      </c>
      <c r="E45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52">
        <v>3</v>
      </c>
      <c r="G452" s="2" t="s">
        <v>12</v>
      </c>
      <c r="H452" s="2" t="s">
        <v>13</v>
      </c>
      <c r="I452" t="s">
        <v>14</v>
      </c>
      <c r="J452">
        <v>2</v>
      </c>
      <c r="K452" t="s">
        <v>21</v>
      </c>
      <c r="L452" s="2" t="s">
        <v>30</v>
      </c>
      <c r="M452" s="4">
        <v>41</v>
      </c>
      <c r="N452" s="4" t="str">
        <f>IF(Bike_Data[[#This Row],[Age]]&gt;=54,"Old",IF(Bike_Data[[#This Row],[Age]]&lt;30,"Young Adult","Middle Age"))</f>
        <v>Middle Age</v>
      </c>
      <c r="O452" s="5">
        <f t="shared" ca="1" si="7"/>
        <v>32992</v>
      </c>
      <c r="P452" s="2" t="s">
        <v>14</v>
      </c>
    </row>
    <row r="453" spans="1:16" x14ac:dyDescent="0.25">
      <c r="A453">
        <v>19143</v>
      </c>
      <c r="B453" s="2" t="s">
        <v>32</v>
      </c>
      <c r="C453" s="2" t="s">
        <v>33</v>
      </c>
      <c r="D453" s="4">
        <v>80000</v>
      </c>
      <c r="E45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53">
        <v>3</v>
      </c>
      <c r="G453" s="2" t="s">
        <v>12</v>
      </c>
      <c r="H453" s="2" t="s">
        <v>13</v>
      </c>
      <c r="I453" t="s">
        <v>14</v>
      </c>
      <c r="J453">
        <v>2</v>
      </c>
      <c r="K453" t="s">
        <v>21</v>
      </c>
      <c r="L453" s="2" t="s">
        <v>30</v>
      </c>
      <c r="M453" s="4">
        <v>41</v>
      </c>
      <c r="N453" s="4" t="str">
        <f>IF(Bike_Data[[#This Row],[Age]]&gt;=54,"Old",IF(Bike_Data[[#This Row],[Age]]&lt;30,"Young Adult","Middle Age"))</f>
        <v>Middle Age</v>
      </c>
      <c r="O453" s="5">
        <f t="shared" ca="1" si="7"/>
        <v>30473</v>
      </c>
      <c r="P453" s="2" t="s">
        <v>14</v>
      </c>
    </row>
    <row r="454" spans="1:16" x14ac:dyDescent="0.25">
      <c r="A454">
        <v>23195</v>
      </c>
      <c r="B454" s="2" t="s">
        <v>32</v>
      </c>
      <c r="C454" s="2" t="s">
        <v>34</v>
      </c>
      <c r="D454" s="4">
        <v>50000</v>
      </c>
      <c r="E45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54">
        <v>3</v>
      </c>
      <c r="G454" s="2" t="s">
        <v>12</v>
      </c>
      <c r="H454" s="2" t="s">
        <v>13</v>
      </c>
      <c r="I454" t="s">
        <v>14</v>
      </c>
      <c r="J454">
        <v>2</v>
      </c>
      <c r="K454" t="s">
        <v>21</v>
      </c>
      <c r="L454" s="2" t="s">
        <v>30</v>
      </c>
      <c r="M454" s="4">
        <v>41</v>
      </c>
      <c r="N454" s="4" t="str">
        <f>IF(Bike_Data[[#This Row],[Age]]&gt;=54,"Old",IF(Bike_Data[[#This Row],[Age]]&lt;30,"Young Adult","Middle Age"))</f>
        <v>Middle Age</v>
      </c>
      <c r="O454" s="5">
        <f t="shared" ca="1" si="7"/>
        <v>35989</v>
      </c>
      <c r="P454" s="2" t="s">
        <v>14</v>
      </c>
    </row>
    <row r="455" spans="1:16" x14ac:dyDescent="0.25">
      <c r="A455">
        <v>11269</v>
      </c>
      <c r="B455" s="2" t="s">
        <v>31</v>
      </c>
      <c r="C455" s="2" t="s">
        <v>34</v>
      </c>
      <c r="D455" s="4">
        <v>130000</v>
      </c>
      <c r="E45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55">
        <v>2</v>
      </c>
      <c r="G455" s="2" t="s">
        <v>29</v>
      </c>
      <c r="H455" s="2" t="s">
        <v>27</v>
      </c>
      <c r="I455" t="s">
        <v>14</v>
      </c>
      <c r="J455">
        <v>2</v>
      </c>
      <c r="K455" t="s">
        <v>15</v>
      </c>
      <c r="L455" s="2" t="s">
        <v>30</v>
      </c>
      <c r="M455" s="4">
        <v>41</v>
      </c>
      <c r="N455" s="4" t="str">
        <f>IF(Bike_Data[[#This Row],[Age]]&gt;=54,"Old",IF(Bike_Data[[#This Row],[Age]]&lt;30,"Young Adult","Middle Age"))</f>
        <v>Middle Age</v>
      </c>
      <c r="O455" s="5">
        <f t="shared" ca="1" si="7"/>
        <v>30564</v>
      </c>
      <c r="P455" s="2" t="s">
        <v>17</v>
      </c>
    </row>
    <row r="456" spans="1:16" x14ac:dyDescent="0.25">
      <c r="A456">
        <v>12496</v>
      </c>
      <c r="B456" s="2" t="s">
        <v>31</v>
      </c>
      <c r="C456" s="2" t="s">
        <v>33</v>
      </c>
      <c r="D456" s="4">
        <v>40000</v>
      </c>
      <c r="E45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56">
        <v>1</v>
      </c>
      <c r="G456" s="2" t="s">
        <v>12</v>
      </c>
      <c r="H456" s="2" t="s">
        <v>13</v>
      </c>
      <c r="I456" t="s">
        <v>14</v>
      </c>
      <c r="J456">
        <v>0</v>
      </c>
      <c r="K456" t="s">
        <v>15</v>
      </c>
      <c r="L456" s="2" t="s">
        <v>16</v>
      </c>
      <c r="M456" s="4">
        <v>42</v>
      </c>
      <c r="N456" s="4" t="str">
        <f>IF(Bike_Data[[#This Row],[Age]]&gt;=54,"Old",IF(Bike_Data[[#This Row],[Age]]&lt;30,"Young Adult","Middle Age"))</f>
        <v>Middle Age</v>
      </c>
      <c r="O456" s="5">
        <f t="shared" ca="1" si="7"/>
        <v>32586</v>
      </c>
      <c r="P456" s="2" t="s">
        <v>17</v>
      </c>
    </row>
    <row r="457" spans="1:16" x14ac:dyDescent="0.25">
      <c r="A457">
        <v>19487</v>
      </c>
      <c r="B457" s="2" t="s">
        <v>31</v>
      </c>
      <c r="C457" s="2" t="s">
        <v>34</v>
      </c>
      <c r="D457" s="4">
        <v>30000</v>
      </c>
      <c r="E45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57">
        <v>2</v>
      </c>
      <c r="G457" s="2" t="s">
        <v>18</v>
      </c>
      <c r="H457" s="2" t="s">
        <v>19</v>
      </c>
      <c r="I457" t="s">
        <v>17</v>
      </c>
      <c r="J457">
        <v>2</v>
      </c>
      <c r="K457" t="s">
        <v>15</v>
      </c>
      <c r="L457" s="2" t="s">
        <v>16</v>
      </c>
      <c r="M457" s="4">
        <v>42</v>
      </c>
      <c r="N457" s="4" t="str">
        <f>IF(Bike_Data[[#This Row],[Age]]&gt;=54,"Old",IF(Bike_Data[[#This Row],[Age]]&lt;30,"Young Adult","Middle Age"))</f>
        <v>Middle Age</v>
      </c>
      <c r="O457" s="5">
        <f t="shared" ca="1" si="7"/>
        <v>29260</v>
      </c>
      <c r="P457" s="2" t="s">
        <v>17</v>
      </c>
    </row>
    <row r="458" spans="1:16" x14ac:dyDescent="0.25">
      <c r="A458">
        <v>17319</v>
      </c>
      <c r="B458" s="2" t="s">
        <v>32</v>
      </c>
      <c r="C458" s="2" t="s">
        <v>33</v>
      </c>
      <c r="D458" s="4">
        <v>70000</v>
      </c>
      <c r="E45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58">
        <v>0</v>
      </c>
      <c r="G458" s="2" t="s">
        <v>12</v>
      </c>
      <c r="H458" s="2" t="s">
        <v>20</v>
      </c>
      <c r="I458" t="s">
        <v>17</v>
      </c>
      <c r="J458">
        <v>1</v>
      </c>
      <c r="K458" t="s">
        <v>22</v>
      </c>
      <c r="L458" s="2" t="s">
        <v>23</v>
      </c>
      <c r="M458" s="4">
        <v>42</v>
      </c>
      <c r="N458" s="4" t="str">
        <f>IF(Bike_Data[[#This Row],[Age]]&gt;=54,"Old",IF(Bike_Data[[#This Row],[Age]]&lt;30,"Young Adult","Middle Age"))</f>
        <v>Middle Age</v>
      </c>
      <c r="O458" s="5">
        <f t="shared" ca="1" si="7"/>
        <v>36072</v>
      </c>
      <c r="P458" s="2" t="s">
        <v>17</v>
      </c>
    </row>
    <row r="459" spans="1:16" x14ac:dyDescent="0.25">
      <c r="A459">
        <v>22496</v>
      </c>
      <c r="B459" s="2" t="s">
        <v>31</v>
      </c>
      <c r="C459" s="2" t="s">
        <v>33</v>
      </c>
      <c r="D459" s="4">
        <v>30000</v>
      </c>
      <c r="E45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59">
        <v>1</v>
      </c>
      <c r="G459" s="2" t="s">
        <v>12</v>
      </c>
      <c r="H459" s="2" t="s">
        <v>13</v>
      </c>
      <c r="I459" t="s">
        <v>14</v>
      </c>
      <c r="J459">
        <v>2</v>
      </c>
      <c r="K459" t="s">
        <v>15</v>
      </c>
      <c r="L459" s="2" t="s">
        <v>16</v>
      </c>
      <c r="M459" s="4">
        <v>42</v>
      </c>
      <c r="N459" s="4" t="str">
        <f>IF(Bike_Data[[#This Row],[Age]]&gt;=54,"Old",IF(Bike_Data[[#This Row],[Age]]&lt;30,"Young Adult","Middle Age"))</f>
        <v>Middle Age</v>
      </c>
      <c r="O459" s="5">
        <f t="shared" ca="1" si="7"/>
        <v>31951</v>
      </c>
      <c r="P459" s="2" t="s">
        <v>17</v>
      </c>
    </row>
    <row r="460" spans="1:16" x14ac:dyDescent="0.25">
      <c r="A460">
        <v>21094</v>
      </c>
      <c r="B460" s="2" t="s">
        <v>32</v>
      </c>
      <c r="C460" s="2" t="s">
        <v>33</v>
      </c>
      <c r="D460" s="4">
        <v>30000</v>
      </c>
      <c r="E46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0">
        <v>2</v>
      </c>
      <c r="G460" s="2" t="s">
        <v>18</v>
      </c>
      <c r="H460" s="2" t="s">
        <v>19</v>
      </c>
      <c r="I460" t="s">
        <v>14</v>
      </c>
      <c r="J460">
        <v>2</v>
      </c>
      <c r="K460" t="s">
        <v>15</v>
      </c>
      <c r="L460" s="2" t="s">
        <v>16</v>
      </c>
      <c r="M460" s="4">
        <v>42</v>
      </c>
      <c r="N460" s="4" t="str">
        <f>IF(Bike_Data[[#This Row],[Age]]&gt;=54,"Old",IF(Bike_Data[[#This Row],[Age]]&lt;30,"Young Adult","Middle Age"))</f>
        <v>Middle Age</v>
      </c>
      <c r="O460" s="5">
        <f t="shared" ca="1" si="7"/>
        <v>30843</v>
      </c>
      <c r="P460" s="2" t="s">
        <v>17</v>
      </c>
    </row>
    <row r="461" spans="1:16" x14ac:dyDescent="0.25">
      <c r="A461">
        <v>17994</v>
      </c>
      <c r="B461" s="2" t="s">
        <v>32</v>
      </c>
      <c r="C461" s="2" t="s">
        <v>34</v>
      </c>
      <c r="D461" s="4">
        <v>20000</v>
      </c>
      <c r="E46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1">
        <v>2</v>
      </c>
      <c r="G461" s="2" t="s">
        <v>26</v>
      </c>
      <c r="H461" s="2" t="s">
        <v>24</v>
      </c>
      <c r="I461" t="s">
        <v>14</v>
      </c>
      <c r="J461">
        <v>2</v>
      </c>
      <c r="K461" t="s">
        <v>15</v>
      </c>
      <c r="L461" s="2" t="s">
        <v>16</v>
      </c>
      <c r="M461" s="4">
        <v>42</v>
      </c>
      <c r="N461" s="4" t="str">
        <f>IF(Bike_Data[[#This Row],[Age]]&gt;=54,"Old",IF(Bike_Data[[#This Row],[Age]]&lt;30,"Young Adult","Middle Age"))</f>
        <v>Middle Age</v>
      </c>
      <c r="O461" s="5">
        <f t="shared" ca="1" si="7"/>
        <v>33170</v>
      </c>
      <c r="P461" s="2" t="s">
        <v>17</v>
      </c>
    </row>
    <row r="462" spans="1:16" x14ac:dyDescent="0.25">
      <c r="A462">
        <v>14832</v>
      </c>
      <c r="B462" s="2" t="s">
        <v>31</v>
      </c>
      <c r="C462" s="2" t="s">
        <v>34</v>
      </c>
      <c r="D462" s="4">
        <v>40000</v>
      </c>
      <c r="E46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2">
        <v>1</v>
      </c>
      <c r="G462" s="2" t="s">
        <v>12</v>
      </c>
      <c r="H462" s="2" t="s">
        <v>13</v>
      </c>
      <c r="I462" t="s">
        <v>14</v>
      </c>
      <c r="J462">
        <v>0</v>
      </c>
      <c r="K462" t="s">
        <v>15</v>
      </c>
      <c r="L462" s="2" t="s">
        <v>16</v>
      </c>
      <c r="M462" s="4">
        <v>42</v>
      </c>
      <c r="N462" s="4" t="str">
        <f>IF(Bike_Data[[#This Row],[Age]]&gt;=54,"Old",IF(Bike_Data[[#This Row],[Age]]&lt;30,"Young Adult","Middle Age"))</f>
        <v>Middle Age</v>
      </c>
      <c r="O462" s="5">
        <f t="shared" ca="1" si="7"/>
        <v>34903</v>
      </c>
      <c r="P462" s="2" t="s">
        <v>14</v>
      </c>
    </row>
    <row r="463" spans="1:16" x14ac:dyDescent="0.25">
      <c r="A463">
        <v>25649</v>
      </c>
      <c r="B463" s="2" t="s">
        <v>32</v>
      </c>
      <c r="C463" s="2" t="s">
        <v>33</v>
      </c>
      <c r="D463" s="4">
        <v>30000</v>
      </c>
      <c r="E46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3">
        <v>3</v>
      </c>
      <c r="G463" s="2" t="s">
        <v>18</v>
      </c>
      <c r="H463" s="2" t="s">
        <v>19</v>
      </c>
      <c r="I463" t="s">
        <v>14</v>
      </c>
      <c r="J463">
        <v>0</v>
      </c>
      <c r="K463" t="s">
        <v>15</v>
      </c>
      <c r="L463" s="2" t="s">
        <v>16</v>
      </c>
      <c r="M463" s="4">
        <v>42</v>
      </c>
      <c r="N463" s="4" t="str">
        <f>IF(Bike_Data[[#This Row],[Age]]&gt;=54,"Old",IF(Bike_Data[[#This Row],[Age]]&lt;30,"Young Adult","Middle Age"))</f>
        <v>Middle Age</v>
      </c>
      <c r="O463" s="5">
        <f t="shared" ca="1" si="7"/>
        <v>32616</v>
      </c>
      <c r="P463" s="2" t="s">
        <v>14</v>
      </c>
    </row>
    <row r="464" spans="1:16" x14ac:dyDescent="0.25">
      <c r="A464">
        <v>13813</v>
      </c>
      <c r="B464" s="2" t="s">
        <v>31</v>
      </c>
      <c r="C464" s="2" t="s">
        <v>33</v>
      </c>
      <c r="D464" s="4">
        <v>30000</v>
      </c>
      <c r="E46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4">
        <v>3</v>
      </c>
      <c r="G464" s="2" t="s">
        <v>18</v>
      </c>
      <c r="H464" s="2" t="s">
        <v>19</v>
      </c>
      <c r="I464" t="s">
        <v>17</v>
      </c>
      <c r="J464">
        <v>0</v>
      </c>
      <c r="K464" t="s">
        <v>15</v>
      </c>
      <c r="L464" s="2" t="s">
        <v>16</v>
      </c>
      <c r="M464" s="4">
        <v>42</v>
      </c>
      <c r="N464" s="4" t="str">
        <f>IF(Bike_Data[[#This Row],[Age]]&gt;=54,"Old",IF(Bike_Data[[#This Row],[Age]]&lt;30,"Young Adult","Middle Age"))</f>
        <v>Middle Age</v>
      </c>
      <c r="O464" s="5">
        <f t="shared" ca="1" si="7"/>
        <v>26799</v>
      </c>
      <c r="P464" s="2" t="s">
        <v>17</v>
      </c>
    </row>
    <row r="465" spans="1:16" x14ac:dyDescent="0.25">
      <c r="A465">
        <v>12833</v>
      </c>
      <c r="B465" s="2" t="s">
        <v>32</v>
      </c>
      <c r="C465" s="2" t="s">
        <v>33</v>
      </c>
      <c r="D465" s="4">
        <v>20000</v>
      </c>
      <c r="E46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5">
        <v>3</v>
      </c>
      <c r="G465" s="2" t="s">
        <v>26</v>
      </c>
      <c r="H465" s="2" t="s">
        <v>24</v>
      </c>
      <c r="I465" t="s">
        <v>14</v>
      </c>
      <c r="J465">
        <v>1</v>
      </c>
      <c r="K465" t="s">
        <v>15</v>
      </c>
      <c r="L465" s="2" t="s">
        <v>16</v>
      </c>
      <c r="M465" s="4">
        <v>42</v>
      </c>
      <c r="N465" s="4" t="str">
        <f>IF(Bike_Data[[#This Row],[Age]]&gt;=54,"Old",IF(Bike_Data[[#This Row],[Age]]&lt;30,"Young Adult","Middle Age"))</f>
        <v>Middle Age</v>
      </c>
      <c r="O465" s="5">
        <f t="shared" ca="1" si="7"/>
        <v>33330</v>
      </c>
      <c r="P465" s="2" t="s">
        <v>14</v>
      </c>
    </row>
    <row r="466" spans="1:16" x14ac:dyDescent="0.25">
      <c r="A466">
        <v>20919</v>
      </c>
      <c r="B466" s="2" t="s">
        <v>32</v>
      </c>
      <c r="C466" s="2" t="s">
        <v>33</v>
      </c>
      <c r="D466" s="4">
        <v>30000</v>
      </c>
      <c r="E4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6">
        <v>2</v>
      </c>
      <c r="G466" s="2" t="s">
        <v>18</v>
      </c>
      <c r="H466" s="2" t="s">
        <v>19</v>
      </c>
      <c r="I466" t="s">
        <v>14</v>
      </c>
      <c r="J466">
        <v>2</v>
      </c>
      <c r="K466" t="s">
        <v>15</v>
      </c>
      <c r="L466" s="2" t="s">
        <v>16</v>
      </c>
      <c r="M466" s="4">
        <v>42</v>
      </c>
      <c r="N466" s="4" t="str">
        <f>IF(Bike_Data[[#This Row],[Age]]&gt;=54,"Old",IF(Bike_Data[[#This Row],[Age]]&lt;30,"Young Adult","Middle Age"))</f>
        <v>Middle Age</v>
      </c>
      <c r="O466" s="5">
        <f t="shared" ca="1" si="7"/>
        <v>26975</v>
      </c>
      <c r="P466" s="2" t="s">
        <v>17</v>
      </c>
    </row>
    <row r="467" spans="1:16" x14ac:dyDescent="0.25">
      <c r="A467">
        <v>20923</v>
      </c>
      <c r="B467" s="2" t="s">
        <v>31</v>
      </c>
      <c r="C467" s="2" t="s">
        <v>33</v>
      </c>
      <c r="D467" s="4">
        <v>40000</v>
      </c>
      <c r="E4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7">
        <v>1</v>
      </c>
      <c r="G467" s="2" t="s">
        <v>12</v>
      </c>
      <c r="H467" s="2" t="s">
        <v>13</v>
      </c>
      <c r="I467" t="s">
        <v>14</v>
      </c>
      <c r="J467">
        <v>0</v>
      </c>
      <c r="K467" t="s">
        <v>15</v>
      </c>
      <c r="L467" s="2" t="s">
        <v>16</v>
      </c>
      <c r="M467" s="4">
        <v>42</v>
      </c>
      <c r="N467" s="4" t="str">
        <f>IF(Bike_Data[[#This Row],[Age]]&gt;=54,"Old",IF(Bike_Data[[#This Row],[Age]]&lt;30,"Young Adult","Middle Age"))</f>
        <v>Middle Age</v>
      </c>
      <c r="O467" s="5">
        <f t="shared" ca="1" si="7"/>
        <v>35302</v>
      </c>
      <c r="P467" s="2" t="s">
        <v>14</v>
      </c>
    </row>
    <row r="468" spans="1:16" x14ac:dyDescent="0.25">
      <c r="A468">
        <v>23915</v>
      </c>
      <c r="B468" s="2" t="s">
        <v>31</v>
      </c>
      <c r="C468" s="2" t="s">
        <v>34</v>
      </c>
      <c r="D468" s="4">
        <v>20000</v>
      </c>
      <c r="E46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8">
        <v>2</v>
      </c>
      <c r="G468" s="2" t="s">
        <v>26</v>
      </c>
      <c r="H468" s="2" t="s">
        <v>24</v>
      </c>
      <c r="I468" t="s">
        <v>14</v>
      </c>
      <c r="J468">
        <v>2</v>
      </c>
      <c r="K468" t="s">
        <v>15</v>
      </c>
      <c r="L468" s="2" t="s">
        <v>16</v>
      </c>
      <c r="M468" s="4">
        <v>42</v>
      </c>
      <c r="N468" s="4" t="str">
        <f>IF(Bike_Data[[#This Row],[Age]]&gt;=54,"Old",IF(Bike_Data[[#This Row],[Age]]&lt;30,"Young Adult","Middle Age"))</f>
        <v>Middle Age</v>
      </c>
      <c r="O468" s="5">
        <f t="shared" ca="1" si="7"/>
        <v>31665</v>
      </c>
      <c r="P468" s="2" t="s">
        <v>17</v>
      </c>
    </row>
    <row r="469" spans="1:16" x14ac:dyDescent="0.25">
      <c r="A469">
        <v>12497</v>
      </c>
      <c r="B469" s="2" t="s">
        <v>31</v>
      </c>
      <c r="C469" s="2" t="s">
        <v>33</v>
      </c>
      <c r="D469" s="4">
        <v>40000</v>
      </c>
      <c r="E46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69">
        <v>1</v>
      </c>
      <c r="G469" s="2" t="s">
        <v>12</v>
      </c>
      <c r="H469" s="2" t="s">
        <v>13</v>
      </c>
      <c r="I469" t="s">
        <v>14</v>
      </c>
      <c r="J469">
        <v>0</v>
      </c>
      <c r="K469" t="s">
        <v>15</v>
      </c>
      <c r="L469" s="2" t="s">
        <v>16</v>
      </c>
      <c r="M469" s="4">
        <v>42</v>
      </c>
      <c r="N469" s="4" t="str">
        <f>IF(Bike_Data[[#This Row],[Age]]&gt;=54,"Old",IF(Bike_Data[[#This Row],[Age]]&lt;30,"Young Adult","Middle Age"))</f>
        <v>Middle Age</v>
      </c>
      <c r="O469" s="5">
        <f t="shared" ca="1" si="7"/>
        <v>32444</v>
      </c>
      <c r="P469" s="2" t="s">
        <v>17</v>
      </c>
    </row>
    <row r="470" spans="1:16" x14ac:dyDescent="0.25">
      <c r="A470">
        <v>21974</v>
      </c>
      <c r="B470" s="2" t="s">
        <v>32</v>
      </c>
      <c r="C470" s="2" t="s">
        <v>33</v>
      </c>
      <c r="D470" s="4">
        <v>70000</v>
      </c>
      <c r="E47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70">
        <v>0</v>
      </c>
      <c r="G470" s="2" t="s">
        <v>12</v>
      </c>
      <c r="H470" s="2" t="s">
        <v>20</v>
      </c>
      <c r="I470" t="s">
        <v>14</v>
      </c>
      <c r="J470">
        <v>1</v>
      </c>
      <c r="K470" t="s">
        <v>22</v>
      </c>
      <c r="L470" s="2" t="s">
        <v>23</v>
      </c>
      <c r="M470" s="4">
        <v>42</v>
      </c>
      <c r="N470" s="4" t="str">
        <f>IF(Bike_Data[[#This Row],[Age]]&gt;=54,"Old",IF(Bike_Data[[#This Row],[Age]]&lt;30,"Young Adult","Middle Age"))</f>
        <v>Middle Age</v>
      </c>
      <c r="O470" s="5">
        <f t="shared" ca="1" si="7"/>
        <v>32082</v>
      </c>
      <c r="P470" s="2" t="s">
        <v>14</v>
      </c>
    </row>
    <row r="471" spans="1:16" x14ac:dyDescent="0.25">
      <c r="A471">
        <v>19491</v>
      </c>
      <c r="B471" s="2" t="s">
        <v>32</v>
      </c>
      <c r="C471" s="2" t="s">
        <v>34</v>
      </c>
      <c r="D471" s="4">
        <v>30000</v>
      </c>
      <c r="E47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71">
        <v>2</v>
      </c>
      <c r="G471" s="2" t="s">
        <v>18</v>
      </c>
      <c r="H471" s="2" t="s">
        <v>19</v>
      </c>
      <c r="I471" t="s">
        <v>14</v>
      </c>
      <c r="J471">
        <v>2</v>
      </c>
      <c r="K471" t="s">
        <v>15</v>
      </c>
      <c r="L471" s="2" t="s">
        <v>16</v>
      </c>
      <c r="M471" s="4">
        <v>42</v>
      </c>
      <c r="N471" s="4" t="str">
        <f>IF(Bike_Data[[#This Row],[Age]]&gt;=54,"Old",IF(Bike_Data[[#This Row],[Age]]&lt;30,"Young Adult","Middle Age"))</f>
        <v>Middle Age</v>
      </c>
      <c r="O471" s="5">
        <f t="shared" ca="1" si="7"/>
        <v>30678</v>
      </c>
      <c r="P471" s="2" t="s">
        <v>17</v>
      </c>
    </row>
    <row r="472" spans="1:16" x14ac:dyDescent="0.25">
      <c r="A472">
        <v>25074</v>
      </c>
      <c r="B472" s="2" t="s">
        <v>31</v>
      </c>
      <c r="C472" s="2" t="s">
        <v>33</v>
      </c>
      <c r="D472" s="4">
        <v>70000</v>
      </c>
      <c r="E4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72">
        <v>4</v>
      </c>
      <c r="G472" s="2" t="s">
        <v>12</v>
      </c>
      <c r="H472" s="2" t="s">
        <v>20</v>
      </c>
      <c r="I472" t="s">
        <v>14</v>
      </c>
      <c r="J472">
        <v>2</v>
      </c>
      <c r="K472" t="s">
        <v>21</v>
      </c>
      <c r="L472" s="2" t="s">
        <v>30</v>
      </c>
      <c r="M472" s="4">
        <v>42</v>
      </c>
      <c r="N472" s="4" t="str">
        <f>IF(Bike_Data[[#This Row],[Age]]&gt;=54,"Old",IF(Bike_Data[[#This Row],[Age]]&lt;30,"Young Adult","Middle Age"))</f>
        <v>Middle Age</v>
      </c>
      <c r="O472" s="5">
        <f t="shared" ca="1" si="7"/>
        <v>29152</v>
      </c>
      <c r="P472" s="2" t="s">
        <v>14</v>
      </c>
    </row>
    <row r="473" spans="1:16" x14ac:dyDescent="0.25">
      <c r="A473">
        <v>11262</v>
      </c>
      <c r="B473" s="2" t="s">
        <v>31</v>
      </c>
      <c r="C473" s="2" t="s">
        <v>33</v>
      </c>
      <c r="D473" s="4">
        <v>80000</v>
      </c>
      <c r="E47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73">
        <v>4</v>
      </c>
      <c r="G473" s="2" t="s">
        <v>12</v>
      </c>
      <c r="H473" s="2" t="s">
        <v>27</v>
      </c>
      <c r="I473" t="s">
        <v>14</v>
      </c>
      <c r="J473">
        <v>0</v>
      </c>
      <c r="K473" t="s">
        <v>15</v>
      </c>
      <c r="L473" s="2" t="s">
        <v>30</v>
      </c>
      <c r="M473" s="4">
        <v>42</v>
      </c>
      <c r="N473" s="4" t="str">
        <f>IF(Bike_Data[[#This Row],[Age]]&gt;=54,"Old",IF(Bike_Data[[#This Row],[Age]]&lt;30,"Young Adult","Middle Age"))</f>
        <v>Middle Age</v>
      </c>
      <c r="O473" s="5">
        <f t="shared" ca="1" si="7"/>
        <v>26528</v>
      </c>
      <c r="P473" s="2" t="s">
        <v>17</v>
      </c>
    </row>
    <row r="474" spans="1:16" x14ac:dyDescent="0.25">
      <c r="A474">
        <v>14063</v>
      </c>
      <c r="B474" s="2" t="s">
        <v>32</v>
      </c>
      <c r="C474" s="2" t="s">
        <v>33</v>
      </c>
      <c r="D474" s="4">
        <v>70000</v>
      </c>
      <c r="E47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74">
        <v>0</v>
      </c>
      <c r="G474" s="2" t="s">
        <v>12</v>
      </c>
      <c r="H474" s="2" t="s">
        <v>20</v>
      </c>
      <c r="I474" t="s">
        <v>17</v>
      </c>
      <c r="J474">
        <v>1</v>
      </c>
      <c r="K474" t="s">
        <v>15</v>
      </c>
      <c r="L474" s="2" t="s">
        <v>23</v>
      </c>
      <c r="M474" s="4">
        <v>42</v>
      </c>
      <c r="N474" s="4" t="str">
        <f>IF(Bike_Data[[#This Row],[Age]]&gt;=54,"Old",IF(Bike_Data[[#This Row],[Age]]&lt;30,"Young Adult","Middle Age"))</f>
        <v>Middle Age</v>
      </c>
      <c r="O474" s="5">
        <f t="shared" ca="1" si="7"/>
        <v>31852</v>
      </c>
      <c r="P474" s="2" t="s">
        <v>14</v>
      </c>
    </row>
    <row r="475" spans="1:16" x14ac:dyDescent="0.25">
      <c r="A475">
        <v>25293</v>
      </c>
      <c r="B475" s="2" t="s">
        <v>31</v>
      </c>
      <c r="C475" s="2" t="s">
        <v>34</v>
      </c>
      <c r="D475" s="4">
        <v>80000</v>
      </c>
      <c r="E47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75">
        <v>4</v>
      </c>
      <c r="G475" s="2" t="s">
        <v>12</v>
      </c>
      <c r="H475" s="2" t="s">
        <v>27</v>
      </c>
      <c r="I475" t="s">
        <v>14</v>
      </c>
      <c r="J475">
        <v>0</v>
      </c>
      <c r="K475" t="s">
        <v>25</v>
      </c>
      <c r="L475" s="2" t="s">
        <v>30</v>
      </c>
      <c r="M475" s="4">
        <v>42</v>
      </c>
      <c r="N475" s="4" t="str">
        <f>IF(Bike_Data[[#This Row],[Age]]&gt;=54,"Old",IF(Bike_Data[[#This Row],[Age]]&lt;30,"Young Adult","Middle Age"))</f>
        <v>Middle Age</v>
      </c>
      <c r="O475" s="5">
        <f t="shared" ca="1" si="7"/>
        <v>28894</v>
      </c>
      <c r="P475" s="2" t="s">
        <v>17</v>
      </c>
    </row>
    <row r="476" spans="1:16" x14ac:dyDescent="0.25">
      <c r="A476">
        <v>29133</v>
      </c>
      <c r="B476" s="2" t="s">
        <v>32</v>
      </c>
      <c r="C476" s="2" t="s">
        <v>33</v>
      </c>
      <c r="D476" s="4">
        <v>60000</v>
      </c>
      <c r="E47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76">
        <v>4</v>
      </c>
      <c r="G476" s="2" t="s">
        <v>12</v>
      </c>
      <c r="H476" s="2" t="s">
        <v>13</v>
      </c>
      <c r="I476" t="s">
        <v>17</v>
      </c>
      <c r="J476">
        <v>2</v>
      </c>
      <c r="K476" t="s">
        <v>15</v>
      </c>
      <c r="L476" s="2" t="s">
        <v>30</v>
      </c>
      <c r="M476" s="4">
        <v>42</v>
      </c>
      <c r="N476" s="4" t="str">
        <f>IF(Bike_Data[[#This Row],[Age]]&gt;=54,"Old",IF(Bike_Data[[#This Row],[Age]]&lt;30,"Young Adult","Middle Age"))</f>
        <v>Middle Age</v>
      </c>
      <c r="O476" s="5">
        <f t="shared" ca="1" si="7"/>
        <v>36410</v>
      </c>
      <c r="P476" s="2" t="s">
        <v>17</v>
      </c>
    </row>
    <row r="477" spans="1:16" x14ac:dyDescent="0.25">
      <c r="A477">
        <v>29132</v>
      </c>
      <c r="B477" s="2" t="s">
        <v>32</v>
      </c>
      <c r="C477" s="2" t="s">
        <v>33</v>
      </c>
      <c r="D477" s="4">
        <v>40000</v>
      </c>
      <c r="E47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77">
        <v>0</v>
      </c>
      <c r="G477" s="2" t="s">
        <v>12</v>
      </c>
      <c r="H477" s="2" t="s">
        <v>20</v>
      </c>
      <c r="I477" t="s">
        <v>14</v>
      </c>
      <c r="J477">
        <v>1</v>
      </c>
      <c r="K477" t="s">
        <v>21</v>
      </c>
      <c r="L477" s="2" t="s">
        <v>30</v>
      </c>
      <c r="M477" s="4">
        <v>42</v>
      </c>
      <c r="N477" s="4" t="str">
        <f>IF(Bike_Data[[#This Row],[Age]]&gt;=54,"Old",IF(Bike_Data[[#This Row],[Age]]&lt;30,"Young Adult","Middle Age"))</f>
        <v>Middle Age</v>
      </c>
      <c r="O477" s="5">
        <f t="shared" ca="1" si="7"/>
        <v>29363</v>
      </c>
      <c r="P477" s="2" t="s">
        <v>14</v>
      </c>
    </row>
    <row r="478" spans="1:16" x14ac:dyDescent="0.25">
      <c r="A478">
        <v>13287</v>
      </c>
      <c r="B478" s="2" t="s">
        <v>32</v>
      </c>
      <c r="C478" s="2" t="s">
        <v>34</v>
      </c>
      <c r="D478" s="4">
        <v>110000</v>
      </c>
      <c r="E478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78">
        <v>4</v>
      </c>
      <c r="G478" s="2" t="s">
        <v>12</v>
      </c>
      <c r="H478" s="2" t="s">
        <v>27</v>
      </c>
      <c r="I478" t="s">
        <v>14</v>
      </c>
      <c r="J478">
        <v>4</v>
      </c>
      <c r="K478" t="s">
        <v>22</v>
      </c>
      <c r="L478" s="2" t="s">
        <v>30</v>
      </c>
      <c r="M478" s="4">
        <v>42</v>
      </c>
      <c r="N478" s="4" t="str">
        <f>IF(Bike_Data[[#This Row],[Age]]&gt;=54,"Old",IF(Bike_Data[[#This Row],[Age]]&lt;30,"Young Adult","Middle Age"))</f>
        <v>Middle Age</v>
      </c>
      <c r="O478" s="5">
        <f t="shared" ca="1" si="7"/>
        <v>29105</v>
      </c>
      <c r="P478" s="2" t="s">
        <v>14</v>
      </c>
    </row>
    <row r="479" spans="1:16" x14ac:dyDescent="0.25">
      <c r="A479">
        <v>11270</v>
      </c>
      <c r="B479" s="2" t="s">
        <v>31</v>
      </c>
      <c r="C479" s="2" t="s">
        <v>34</v>
      </c>
      <c r="D479" s="4">
        <v>130000</v>
      </c>
      <c r="E47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79">
        <v>2</v>
      </c>
      <c r="G479" s="2" t="s">
        <v>29</v>
      </c>
      <c r="H479" s="2" t="s">
        <v>27</v>
      </c>
      <c r="I479" t="s">
        <v>14</v>
      </c>
      <c r="J479">
        <v>3</v>
      </c>
      <c r="K479" t="s">
        <v>15</v>
      </c>
      <c r="L479" s="2" t="s">
        <v>30</v>
      </c>
      <c r="M479" s="4">
        <v>42</v>
      </c>
      <c r="N479" s="4" t="str">
        <f>IF(Bike_Data[[#This Row],[Age]]&gt;=54,"Old",IF(Bike_Data[[#This Row],[Age]]&lt;30,"Young Adult","Middle Age"))</f>
        <v>Middle Age</v>
      </c>
      <c r="O479" s="5">
        <f t="shared" ca="1" si="7"/>
        <v>34610</v>
      </c>
      <c r="P479" s="2" t="s">
        <v>14</v>
      </c>
    </row>
    <row r="480" spans="1:16" x14ac:dyDescent="0.25">
      <c r="A480">
        <v>14608</v>
      </c>
      <c r="B480" s="2" t="s">
        <v>31</v>
      </c>
      <c r="C480" s="2" t="s">
        <v>34</v>
      </c>
      <c r="D480" s="4">
        <v>50000</v>
      </c>
      <c r="E48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80">
        <v>4</v>
      </c>
      <c r="G480" s="2" t="s">
        <v>12</v>
      </c>
      <c r="H480" s="2" t="s">
        <v>13</v>
      </c>
      <c r="I480" t="s">
        <v>14</v>
      </c>
      <c r="J480">
        <v>3</v>
      </c>
      <c r="K480" t="s">
        <v>37</v>
      </c>
      <c r="L480" s="2" t="s">
        <v>30</v>
      </c>
      <c r="M480" s="4">
        <v>42</v>
      </c>
      <c r="N480" s="4" t="str">
        <f>IF(Bike_Data[[#This Row],[Age]]&gt;=54,"Old",IF(Bike_Data[[#This Row],[Age]]&lt;30,"Young Adult","Middle Age"))</f>
        <v>Middle Age</v>
      </c>
      <c r="O480" s="5">
        <f t="shared" ca="1" si="7"/>
        <v>37025</v>
      </c>
      <c r="P480" s="2" t="s">
        <v>17</v>
      </c>
    </row>
    <row r="481" spans="1:16" x14ac:dyDescent="0.25">
      <c r="A481">
        <v>20698</v>
      </c>
      <c r="B481" s="2" t="s">
        <v>31</v>
      </c>
      <c r="C481" s="2" t="s">
        <v>34</v>
      </c>
      <c r="D481" s="4">
        <v>60000</v>
      </c>
      <c r="E48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81">
        <v>4</v>
      </c>
      <c r="G481" s="2" t="s">
        <v>12</v>
      </c>
      <c r="H481" s="2" t="s">
        <v>13</v>
      </c>
      <c r="I481" t="s">
        <v>14</v>
      </c>
      <c r="J481">
        <v>3</v>
      </c>
      <c r="K481" t="s">
        <v>22</v>
      </c>
      <c r="L481" s="2" t="s">
        <v>30</v>
      </c>
      <c r="M481" s="4">
        <v>42</v>
      </c>
      <c r="N481" s="4" t="str">
        <f>IF(Bike_Data[[#This Row],[Age]]&gt;=54,"Old",IF(Bike_Data[[#This Row],[Age]]&lt;30,"Young Adult","Middle Age"))</f>
        <v>Middle Age</v>
      </c>
      <c r="O481" s="5">
        <f t="shared" ca="1" si="7"/>
        <v>26960</v>
      </c>
      <c r="P481" s="2" t="s">
        <v>17</v>
      </c>
    </row>
    <row r="482" spans="1:16" x14ac:dyDescent="0.25">
      <c r="A482">
        <v>17012</v>
      </c>
      <c r="B482" s="2" t="s">
        <v>31</v>
      </c>
      <c r="C482" s="2" t="s">
        <v>33</v>
      </c>
      <c r="D482" s="4">
        <v>60000</v>
      </c>
      <c r="E48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82">
        <v>3</v>
      </c>
      <c r="G482" s="2" t="s">
        <v>29</v>
      </c>
      <c r="H482" s="2" t="s">
        <v>20</v>
      </c>
      <c r="I482" t="s">
        <v>14</v>
      </c>
      <c r="J482">
        <v>0</v>
      </c>
      <c r="K482" t="s">
        <v>21</v>
      </c>
      <c r="L482" s="2" t="s">
        <v>30</v>
      </c>
      <c r="M482" s="4">
        <v>42</v>
      </c>
      <c r="N482" s="4" t="str">
        <f>IF(Bike_Data[[#This Row],[Age]]&gt;=54,"Old",IF(Bike_Data[[#This Row],[Age]]&lt;30,"Young Adult","Middle Age"))</f>
        <v>Middle Age</v>
      </c>
      <c r="O482" s="5">
        <f t="shared" ca="1" si="7"/>
        <v>30606</v>
      </c>
      <c r="P482" s="2" t="s">
        <v>14</v>
      </c>
    </row>
    <row r="483" spans="1:16" x14ac:dyDescent="0.25">
      <c r="A483">
        <v>19147</v>
      </c>
      <c r="B483" s="2" t="s">
        <v>31</v>
      </c>
      <c r="C483" s="2" t="s">
        <v>34</v>
      </c>
      <c r="D483" s="4">
        <v>40000</v>
      </c>
      <c r="E48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83">
        <v>0</v>
      </c>
      <c r="G483" s="2" t="s">
        <v>12</v>
      </c>
      <c r="H483" s="2" t="s">
        <v>20</v>
      </c>
      <c r="I483" t="s">
        <v>17</v>
      </c>
      <c r="J483">
        <v>1</v>
      </c>
      <c r="K483" t="s">
        <v>15</v>
      </c>
      <c r="L483" s="2" t="s">
        <v>30</v>
      </c>
      <c r="M483" s="4">
        <v>42</v>
      </c>
      <c r="N483" s="4" t="str">
        <f>IF(Bike_Data[[#This Row],[Age]]&gt;=54,"Old",IF(Bike_Data[[#This Row],[Age]]&lt;30,"Young Adult","Middle Age"))</f>
        <v>Middle Age</v>
      </c>
      <c r="O483" s="5">
        <f t="shared" ca="1" si="7"/>
        <v>26387</v>
      </c>
      <c r="P483" s="2" t="s">
        <v>17</v>
      </c>
    </row>
    <row r="484" spans="1:16" x14ac:dyDescent="0.25">
      <c r="A484">
        <v>26065</v>
      </c>
      <c r="B484" s="2" t="s">
        <v>32</v>
      </c>
      <c r="C484" s="2" t="s">
        <v>33</v>
      </c>
      <c r="D484" s="4">
        <v>110000</v>
      </c>
      <c r="E48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484">
        <v>3</v>
      </c>
      <c r="G484" s="2" t="s">
        <v>12</v>
      </c>
      <c r="H484" s="2" t="s">
        <v>27</v>
      </c>
      <c r="I484" t="s">
        <v>17</v>
      </c>
      <c r="J484">
        <v>4</v>
      </c>
      <c r="K484" t="s">
        <v>25</v>
      </c>
      <c r="L484" s="2" t="s">
        <v>30</v>
      </c>
      <c r="M484" s="4">
        <v>42</v>
      </c>
      <c r="N484" s="4" t="str">
        <f>IF(Bike_Data[[#This Row],[Age]]&gt;=54,"Old",IF(Bike_Data[[#This Row],[Age]]&lt;30,"Young Adult","Middle Age"))</f>
        <v>Middle Age</v>
      </c>
      <c r="O484" s="5">
        <f t="shared" ca="1" si="7"/>
        <v>33336</v>
      </c>
      <c r="P484" s="2" t="s">
        <v>17</v>
      </c>
    </row>
    <row r="485" spans="1:16" x14ac:dyDescent="0.25">
      <c r="A485">
        <v>26597</v>
      </c>
      <c r="B485" s="2" t="s">
        <v>32</v>
      </c>
      <c r="C485" s="2" t="s">
        <v>33</v>
      </c>
      <c r="D485" s="4">
        <v>60000</v>
      </c>
      <c r="E48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85">
        <v>4</v>
      </c>
      <c r="G485" s="2" t="s">
        <v>12</v>
      </c>
      <c r="H485" s="2" t="s">
        <v>13</v>
      </c>
      <c r="I485" t="s">
        <v>17</v>
      </c>
      <c r="J485">
        <v>2</v>
      </c>
      <c r="K485" t="s">
        <v>15</v>
      </c>
      <c r="L485" s="2" t="s">
        <v>30</v>
      </c>
      <c r="M485" s="4">
        <v>42</v>
      </c>
      <c r="N485" s="4" t="str">
        <f>IF(Bike_Data[[#This Row],[Age]]&gt;=54,"Old",IF(Bike_Data[[#This Row],[Age]]&lt;30,"Young Adult","Middle Age"))</f>
        <v>Middle Age</v>
      </c>
      <c r="O485" s="5">
        <f t="shared" ca="1" si="7"/>
        <v>33772</v>
      </c>
      <c r="P485" s="2" t="s">
        <v>17</v>
      </c>
    </row>
    <row r="486" spans="1:16" x14ac:dyDescent="0.25">
      <c r="A486">
        <v>18607</v>
      </c>
      <c r="B486" s="2" t="s">
        <v>32</v>
      </c>
      <c r="C486" s="2" t="s">
        <v>33</v>
      </c>
      <c r="D486" s="4">
        <v>60000</v>
      </c>
      <c r="E48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86">
        <v>4</v>
      </c>
      <c r="G486" s="2" t="s">
        <v>12</v>
      </c>
      <c r="H486" s="2" t="s">
        <v>13</v>
      </c>
      <c r="I486" t="s">
        <v>14</v>
      </c>
      <c r="J486">
        <v>2</v>
      </c>
      <c r="K486" t="s">
        <v>21</v>
      </c>
      <c r="L486" s="2" t="s">
        <v>30</v>
      </c>
      <c r="M486" s="4">
        <v>42</v>
      </c>
      <c r="N486" s="4" t="str">
        <f>IF(Bike_Data[[#This Row],[Age]]&gt;=54,"Old",IF(Bike_Data[[#This Row],[Age]]&lt;30,"Young Adult","Middle Age"))</f>
        <v>Middle Age</v>
      </c>
      <c r="O486" s="5">
        <f t="shared" ca="1" si="7"/>
        <v>28525</v>
      </c>
      <c r="P486" s="2" t="s">
        <v>14</v>
      </c>
    </row>
    <row r="487" spans="1:16" x14ac:dyDescent="0.25">
      <c r="A487">
        <v>24322</v>
      </c>
      <c r="B487" s="2" t="s">
        <v>31</v>
      </c>
      <c r="C487" s="2" t="s">
        <v>33</v>
      </c>
      <c r="D487" s="4">
        <v>60000</v>
      </c>
      <c r="E48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87">
        <v>4</v>
      </c>
      <c r="G487" s="2" t="s">
        <v>12</v>
      </c>
      <c r="H487" s="2" t="s">
        <v>13</v>
      </c>
      <c r="I487" t="s">
        <v>17</v>
      </c>
      <c r="J487">
        <v>2</v>
      </c>
      <c r="K487" t="s">
        <v>15</v>
      </c>
      <c r="L487" s="2" t="s">
        <v>30</v>
      </c>
      <c r="M487" s="4">
        <v>42</v>
      </c>
      <c r="N487" s="4" t="str">
        <f>IF(Bike_Data[[#This Row],[Age]]&gt;=54,"Old",IF(Bike_Data[[#This Row],[Age]]&lt;30,"Young Adult","Middle Age"))</f>
        <v>Middle Age</v>
      </c>
      <c r="O487" s="5">
        <f t="shared" ca="1" si="7"/>
        <v>37964</v>
      </c>
      <c r="P487" s="2" t="s">
        <v>17</v>
      </c>
    </row>
    <row r="488" spans="1:16" x14ac:dyDescent="0.25">
      <c r="A488">
        <v>13920</v>
      </c>
      <c r="B488" s="2" t="s">
        <v>32</v>
      </c>
      <c r="C488" s="2" t="s">
        <v>33</v>
      </c>
      <c r="D488" s="4">
        <v>50000</v>
      </c>
      <c r="E4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88">
        <v>4</v>
      </c>
      <c r="G488" s="2" t="s">
        <v>12</v>
      </c>
      <c r="H488" s="2" t="s">
        <v>13</v>
      </c>
      <c r="I488" t="s">
        <v>14</v>
      </c>
      <c r="J488">
        <v>2</v>
      </c>
      <c r="K488" t="s">
        <v>15</v>
      </c>
      <c r="L488" s="2" t="s">
        <v>30</v>
      </c>
      <c r="M488" s="4">
        <v>42</v>
      </c>
      <c r="N488" s="4" t="str">
        <f>IF(Bike_Data[[#This Row],[Age]]&gt;=54,"Old",IF(Bike_Data[[#This Row],[Age]]&lt;30,"Young Adult","Middle Age"))</f>
        <v>Middle Age</v>
      </c>
      <c r="O488" s="5">
        <f t="shared" ca="1" si="7"/>
        <v>27941</v>
      </c>
      <c r="P488" s="2" t="s">
        <v>17</v>
      </c>
    </row>
    <row r="489" spans="1:16" x14ac:dyDescent="0.25">
      <c r="A489">
        <v>29134</v>
      </c>
      <c r="B489" s="2" t="s">
        <v>31</v>
      </c>
      <c r="C489" s="2" t="s">
        <v>34</v>
      </c>
      <c r="D489" s="4">
        <v>60000</v>
      </c>
      <c r="E48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89">
        <v>4</v>
      </c>
      <c r="G489" s="2" t="s">
        <v>12</v>
      </c>
      <c r="H489" s="2" t="s">
        <v>13</v>
      </c>
      <c r="I489" t="s">
        <v>17</v>
      </c>
      <c r="J489">
        <v>3</v>
      </c>
      <c r="K489" t="s">
        <v>37</v>
      </c>
      <c r="L489" s="2" t="s">
        <v>30</v>
      </c>
      <c r="M489" s="4">
        <v>42</v>
      </c>
      <c r="N489" s="4" t="str">
        <f>IF(Bike_Data[[#This Row],[Age]]&gt;=54,"Old",IF(Bike_Data[[#This Row],[Age]]&lt;30,"Young Adult","Middle Age"))</f>
        <v>Middle Age</v>
      </c>
      <c r="O489" s="5">
        <f t="shared" ca="1" si="7"/>
        <v>30397</v>
      </c>
      <c r="P489" s="2" t="s">
        <v>17</v>
      </c>
    </row>
    <row r="490" spans="1:16" x14ac:dyDescent="0.25">
      <c r="A490">
        <v>24107</v>
      </c>
      <c r="B490" s="2" t="s">
        <v>31</v>
      </c>
      <c r="C490" s="2" t="s">
        <v>34</v>
      </c>
      <c r="D490" s="4">
        <v>30000</v>
      </c>
      <c r="E4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0">
        <v>3</v>
      </c>
      <c r="G490" s="2" t="s">
        <v>18</v>
      </c>
      <c r="H490" s="2" t="s">
        <v>19</v>
      </c>
      <c r="I490" t="s">
        <v>14</v>
      </c>
      <c r="J490">
        <v>1</v>
      </c>
      <c r="K490" t="s">
        <v>15</v>
      </c>
      <c r="L490" s="2" t="s">
        <v>16</v>
      </c>
      <c r="M490" s="4">
        <v>43</v>
      </c>
      <c r="N490" s="4" t="str">
        <f>IF(Bike_Data[[#This Row],[Age]]&gt;=54,"Old",IF(Bike_Data[[#This Row],[Age]]&lt;30,"Young Adult","Middle Age"))</f>
        <v>Middle Age</v>
      </c>
      <c r="O490" s="5">
        <f t="shared" ca="1" si="7"/>
        <v>28497</v>
      </c>
      <c r="P490" s="2" t="s">
        <v>17</v>
      </c>
    </row>
    <row r="491" spans="1:16" x14ac:dyDescent="0.25">
      <c r="A491">
        <v>19364</v>
      </c>
      <c r="B491" s="2" t="s">
        <v>31</v>
      </c>
      <c r="C491" s="2" t="s">
        <v>34</v>
      </c>
      <c r="D491" s="4">
        <v>40000</v>
      </c>
      <c r="E49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1">
        <v>1</v>
      </c>
      <c r="G491" s="2" t="s">
        <v>12</v>
      </c>
      <c r="H491" s="2" t="s">
        <v>13</v>
      </c>
      <c r="I491" t="s">
        <v>14</v>
      </c>
      <c r="J491">
        <v>0</v>
      </c>
      <c r="K491" t="s">
        <v>15</v>
      </c>
      <c r="L491" s="2" t="s">
        <v>16</v>
      </c>
      <c r="M491" s="4">
        <v>43</v>
      </c>
      <c r="N491" s="4" t="str">
        <f>IF(Bike_Data[[#This Row],[Age]]&gt;=54,"Old",IF(Bike_Data[[#This Row],[Age]]&lt;30,"Young Adult","Middle Age"))</f>
        <v>Middle Age</v>
      </c>
      <c r="O491" s="5">
        <f t="shared" ca="1" si="7"/>
        <v>37414</v>
      </c>
      <c r="P491" s="2" t="s">
        <v>14</v>
      </c>
    </row>
    <row r="492" spans="1:16" x14ac:dyDescent="0.25">
      <c r="A492">
        <v>27803</v>
      </c>
      <c r="B492" s="2" t="s">
        <v>32</v>
      </c>
      <c r="C492" s="2" t="s">
        <v>33</v>
      </c>
      <c r="D492" s="4">
        <v>30000</v>
      </c>
      <c r="E4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2">
        <v>2</v>
      </c>
      <c r="G492" s="2" t="s">
        <v>18</v>
      </c>
      <c r="H492" s="2" t="s">
        <v>19</v>
      </c>
      <c r="I492" t="s">
        <v>17</v>
      </c>
      <c r="J492">
        <v>0</v>
      </c>
      <c r="K492" t="s">
        <v>15</v>
      </c>
      <c r="L492" s="2" t="s">
        <v>16</v>
      </c>
      <c r="M492" s="4">
        <v>43</v>
      </c>
      <c r="N492" s="4" t="str">
        <f>IF(Bike_Data[[#This Row],[Age]]&gt;=54,"Old",IF(Bike_Data[[#This Row],[Age]]&lt;30,"Young Adult","Middle Age"))</f>
        <v>Middle Age</v>
      </c>
      <c r="O492" s="5">
        <f t="shared" ca="1" si="7"/>
        <v>26534</v>
      </c>
      <c r="P492" s="2" t="s">
        <v>17</v>
      </c>
    </row>
    <row r="493" spans="1:16" x14ac:dyDescent="0.25">
      <c r="A493">
        <v>25502</v>
      </c>
      <c r="B493" s="2" t="s">
        <v>31</v>
      </c>
      <c r="C493" s="2" t="s">
        <v>33</v>
      </c>
      <c r="D493" s="4">
        <v>40000</v>
      </c>
      <c r="E49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3">
        <v>1</v>
      </c>
      <c r="G493" s="2" t="s">
        <v>12</v>
      </c>
      <c r="H493" s="2" t="s">
        <v>13</v>
      </c>
      <c r="I493" t="s">
        <v>14</v>
      </c>
      <c r="J493">
        <v>0</v>
      </c>
      <c r="K493" t="s">
        <v>15</v>
      </c>
      <c r="L493" s="2" t="s">
        <v>16</v>
      </c>
      <c r="M493" s="4">
        <v>43</v>
      </c>
      <c r="N493" s="4" t="str">
        <f>IF(Bike_Data[[#This Row],[Age]]&gt;=54,"Old",IF(Bike_Data[[#This Row],[Age]]&lt;30,"Young Adult","Middle Age"))</f>
        <v>Middle Age</v>
      </c>
      <c r="O493" s="5">
        <f t="shared" ca="1" si="7"/>
        <v>25935</v>
      </c>
      <c r="P493" s="2" t="s">
        <v>14</v>
      </c>
    </row>
    <row r="494" spans="1:16" x14ac:dyDescent="0.25">
      <c r="A494">
        <v>14813</v>
      </c>
      <c r="B494" s="2" t="s">
        <v>32</v>
      </c>
      <c r="C494" s="2" t="s">
        <v>33</v>
      </c>
      <c r="D494" s="4">
        <v>20000</v>
      </c>
      <c r="E49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4">
        <v>4</v>
      </c>
      <c r="G494" s="2" t="s">
        <v>26</v>
      </c>
      <c r="H494" s="2" t="s">
        <v>24</v>
      </c>
      <c r="I494" t="s">
        <v>14</v>
      </c>
      <c r="J494">
        <v>1</v>
      </c>
      <c r="K494" t="s">
        <v>15</v>
      </c>
      <c r="L494" s="2" t="s">
        <v>16</v>
      </c>
      <c r="M494" s="4">
        <v>43</v>
      </c>
      <c r="N494" s="4" t="str">
        <f>IF(Bike_Data[[#This Row],[Age]]&gt;=54,"Old",IF(Bike_Data[[#This Row],[Age]]&lt;30,"Young Adult","Middle Age"))</f>
        <v>Middle Age</v>
      </c>
      <c r="O494" s="5">
        <f t="shared" ca="1" si="7"/>
        <v>37317</v>
      </c>
      <c r="P494" s="2" t="s">
        <v>14</v>
      </c>
    </row>
    <row r="495" spans="1:16" x14ac:dyDescent="0.25">
      <c r="A495">
        <v>12507</v>
      </c>
      <c r="B495" s="2" t="s">
        <v>31</v>
      </c>
      <c r="C495" s="2" t="s">
        <v>34</v>
      </c>
      <c r="D495" s="4">
        <v>30000</v>
      </c>
      <c r="E4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5">
        <v>1</v>
      </c>
      <c r="G495" s="2" t="s">
        <v>18</v>
      </c>
      <c r="H495" s="2" t="s">
        <v>19</v>
      </c>
      <c r="I495" t="s">
        <v>14</v>
      </c>
      <c r="J495">
        <v>1</v>
      </c>
      <c r="K495" t="s">
        <v>15</v>
      </c>
      <c r="L495" s="2" t="s">
        <v>16</v>
      </c>
      <c r="M495" s="4">
        <v>43</v>
      </c>
      <c r="N495" s="4" t="str">
        <f>IF(Bike_Data[[#This Row],[Age]]&gt;=54,"Old",IF(Bike_Data[[#This Row],[Age]]&lt;30,"Young Adult","Middle Age"))</f>
        <v>Middle Age</v>
      </c>
      <c r="O495" s="5">
        <f t="shared" ca="1" si="7"/>
        <v>35516</v>
      </c>
      <c r="P495" s="2" t="s">
        <v>17</v>
      </c>
    </row>
    <row r="496" spans="1:16" x14ac:dyDescent="0.25">
      <c r="A496">
        <v>26852</v>
      </c>
      <c r="B496" s="2" t="s">
        <v>31</v>
      </c>
      <c r="C496" s="2" t="s">
        <v>33</v>
      </c>
      <c r="D496" s="4">
        <v>20000</v>
      </c>
      <c r="E4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496">
        <v>3</v>
      </c>
      <c r="G496" s="2" t="s">
        <v>26</v>
      </c>
      <c r="H496" s="2" t="s">
        <v>24</v>
      </c>
      <c r="I496" t="s">
        <v>14</v>
      </c>
      <c r="J496">
        <v>2</v>
      </c>
      <c r="K496" t="s">
        <v>15</v>
      </c>
      <c r="L496" s="2" t="s">
        <v>16</v>
      </c>
      <c r="M496" s="4">
        <v>43</v>
      </c>
      <c r="N496" s="4" t="str">
        <f>IF(Bike_Data[[#This Row],[Age]]&gt;=54,"Old",IF(Bike_Data[[#This Row],[Age]]&lt;30,"Young Adult","Middle Age"))</f>
        <v>Middle Age</v>
      </c>
      <c r="O496" s="5">
        <f t="shared" ca="1" si="7"/>
        <v>33792</v>
      </c>
      <c r="P496" s="2" t="s">
        <v>17</v>
      </c>
    </row>
    <row r="497" spans="1:16" x14ac:dyDescent="0.25">
      <c r="A497">
        <v>20236</v>
      </c>
      <c r="B497" s="2" t="s">
        <v>32</v>
      </c>
      <c r="C497" s="2" t="s">
        <v>34</v>
      </c>
      <c r="D497" s="4">
        <v>60000</v>
      </c>
      <c r="E49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97">
        <v>3</v>
      </c>
      <c r="G497" s="2" t="s">
        <v>12</v>
      </c>
      <c r="H497" s="2" t="s">
        <v>20</v>
      </c>
      <c r="I497" t="s">
        <v>17</v>
      </c>
      <c r="J497">
        <v>2</v>
      </c>
      <c r="K497" t="s">
        <v>15</v>
      </c>
      <c r="L497" s="2" t="s">
        <v>23</v>
      </c>
      <c r="M497" s="4">
        <v>43</v>
      </c>
      <c r="N497" s="4" t="str">
        <f>IF(Bike_Data[[#This Row],[Age]]&gt;=54,"Old",IF(Bike_Data[[#This Row],[Age]]&lt;30,"Young Adult","Middle Age"))</f>
        <v>Middle Age</v>
      </c>
      <c r="O497" s="5">
        <f t="shared" ca="1" si="7"/>
        <v>35398</v>
      </c>
      <c r="P497" s="2" t="s">
        <v>14</v>
      </c>
    </row>
    <row r="498" spans="1:16" x14ac:dyDescent="0.25">
      <c r="A498">
        <v>26154</v>
      </c>
      <c r="B498" s="2" t="s">
        <v>31</v>
      </c>
      <c r="C498" s="2" t="s">
        <v>34</v>
      </c>
      <c r="D498" s="4">
        <v>60000</v>
      </c>
      <c r="E49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98">
        <v>1</v>
      </c>
      <c r="G498" s="2" t="s">
        <v>18</v>
      </c>
      <c r="H498" s="2" t="s">
        <v>13</v>
      </c>
      <c r="I498" t="s">
        <v>14</v>
      </c>
      <c r="J498">
        <v>1</v>
      </c>
      <c r="K498" t="s">
        <v>22</v>
      </c>
      <c r="L498" s="2" t="s">
        <v>23</v>
      </c>
      <c r="M498" s="4">
        <v>43</v>
      </c>
      <c r="N498" s="4" t="str">
        <f>IF(Bike_Data[[#This Row],[Age]]&gt;=54,"Old",IF(Bike_Data[[#This Row],[Age]]&lt;30,"Young Adult","Middle Age"))</f>
        <v>Middle Age</v>
      </c>
      <c r="O498" s="5">
        <f t="shared" ca="1" si="7"/>
        <v>33682</v>
      </c>
      <c r="P498" s="2" t="s">
        <v>14</v>
      </c>
    </row>
    <row r="499" spans="1:16" x14ac:dyDescent="0.25">
      <c r="A499">
        <v>27696</v>
      </c>
      <c r="B499" s="2" t="s">
        <v>31</v>
      </c>
      <c r="C499" s="2" t="s">
        <v>34</v>
      </c>
      <c r="D499" s="4">
        <v>60000</v>
      </c>
      <c r="E49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499">
        <v>1</v>
      </c>
      <c r="G499" s="2" t="s">
        <v>12</v>
      </c>
      <c r="H499" s="2" t="s">
        <v>20</v>
      </c>
      <c r="I499" t="s">
        <v>14</v>
      </c>
      <c r="J499">
        <v>1</v>
      </c>
      <c r="K499" t="s">
        <v>22</v>
      </c>
      <c r="L499" s="2" t="s">
        <v>23</v>
      </c>
      <c r="M499" s="4">
        <v>43</v>
      </c>
      <c r="N499" s="4" t="str">
        <f>IF(Bike_Data[[#This Row],[Age]]&gt;=54,"Old",IF(Bike_Data[[#This Row],[Age]]&lt;30,"Young Adult","Middle Age"))</f>
        <v>Middle Age</v>
      </c>
      <c r="O499" s="5">
        <f t="shared" ca="1" si="7"/>
        <v>30834</v>
      </c>
      <c r="P499" s="2" t="s">
        <v>14</v>
      </c>
    </row>
    <row r="500" spans="1:16" x14ac:dyDescent="0.25">
      <c r="A500">
        <v>26849</v>
      </c>
      <c r="B500" s="2" t="s">
        <v>31</v>
      </c>
      <c r="C500" s="2" t="s">
        <v>34</v>
      </c>
      <c r="D500" s="4">
        <v>10000</v>
      </c>
      <c r="E5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0">
        <v>3</v>
      </c>
      <c r="G500" s="2" t="s">
        <v>28</v>
      </c>
      <c r="H500" s="2" t="s">
        <v>24</v>
      </c>
      <c r="I500" t="s">
        <v>14</v>
      </c>
      <c r="J500">
        <v>2</v>
      </c>
      <c r="K500" t="s">
        <v>15</v>
      </c>
      <c r="L500" s="2" t="s">
        <v>16</v>
      </c>
      <c r="M500" s="4">
        <v>43</v>
      </c>
      <c r="N500" s="4" t="str">
        <f>IF(Bike_Data[[#This Row],[Age]]&gt;=54,"Old",IF(Bike_Data[[#This Row],[Age]]&lt;30,"Young Adult","Middle Age"))</f>
        <v>Middle Age</v>
      </c>
      <c r="O500" s="5">
        <f t="shared" ca="1" si="7"/>
        <v>27519</v>
      </c>
      <c r="P500" s="2" t="s">
        <v>17</v>
      </c>
    </row>
    <row r="501" spans="1:16" x14ac:dyDescent="0.25">
      <c r="A501">
        <v>21738</v>
      </c>
      <c r="B501" s="2" t="s">
        <v>31</v>
      </c>
      <c r="C501" s="2" t="s">
        <v>34</v>
      </c>
      <c r="D501" s="4">
        <v>20000</v>
      </c>
      <c r="E5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1">
        <v>1</v>
      </c>
      <c r="G501" s="2" t="s">
        <v>29</v>
      </c>
      <c r="H501" s="2" t="s">
        <v>19</v>
      </c>
      <c r="I501" t="s">
        <v>14</v>
      </c>
      <c r="J501">
        <v>0</v>
      </c>
      <c r="K501" t="s">
        <v>15</v>
      </c>
      <c r="L501" s="2" t="s">
        <v>16</v>
      </c>
      <c r="M501" s="4">
        <v>43</v>
      </c>
      <c r="N501" s="4" t="str">
        <f>IF(Bike_Data[[#This Row],[Age]]&gt;=54,"Old",IF(Bike_Data[[#This Row],[Age]]&lt;30,"Young Adult","Middle Age"))</f>
        <v>Middle Age</v>
      </c>
      <c r="O501" s="5">
        <f t="shared" ca="1" si="7"/>
        <v>33610</v>
      </c>
      <c r="P501" s="2" t="s">
        <v>17</v>
      </c>
    </row>
    <row r="502" spans="1:16" x14ac:dyDescent="0.25">
      <c r="A502">
        <v>22672</v>
      </c>
      <c r="B502" s="2" t="s">
        <v>32</v>
      </c>
      <c r="C502" s="2" t="s">
        <v>33</v>
      </c>
      <c r="D502" s="4">
        <v>30000</v>
      </c>
      <c r="E50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2">
        <v>2</v>
      </c>
      <c r="G502" s="2" t="s">
        <v>18</v>
      </c>
      <c r="H502" s="2" t="s">
        <v>19</v>
      </c>
      <c r="I502" t="s">
        <v>14</v>
      </c>
      <c r="J502">
        <v>0</v>
      </c>
      <c r="K502" t="s">
        <v>15</v>
      </c>
      <c r="L502" s="2" t="s">
        <v>16</v>
      </c>
      <c r="M502" s="4">
        <v>43</v>
      </c>
      <c r="N502" s="4" t="str">
        <f>IF(Bike_Data[[#This Row],[Age]]&gt;=54,"Old",IF(Bike_Data[[#This Row],[Age]]&lt;30,"Young Adult","Middle Age"))</f>
        <v>Middle Age</v>
      </c>
      <c r="O502" s="5">
        <f t="shared" ca="1" si="7"/>
        <v>28922</v>
      </c>
      <c r="P502" s="2" t="s">
        <v>17</v>
      </c>
    </row>
    <row r="503" spans="1:16" x14ac:dyDescent="0.25">
      <c r="A503">
        <v>14804</v>
      </c>
      <c r="B503" s="2" t="s">
        <v>32</v>
      </c>
      <c r="C503" s="2" t="s">
        <v>33</v>
      </c>
      <c r="D503" s="4">
        <v>10000</v>
      </c>
      <c r="E50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3">
        <v>3</v>
      </c>
      <c r="G503" s="2" t="s">
        <v>28</v>
      </c>
      <c r="H503" s="2" t="s">
        <v>24</v>
      </c>
      <c r="I503" t="s">
        <v>14</v>
      </c>
      <c r="J503">
        <v>2</v>
      </c>
      <c r="K503" t="s">
        <v>15</v>
      </c>
      <c r="L503" s="2" t="s">
        <v>16</v>
      </c>
      <c r="M503" s="4">
        <v>43</v>
      </c>
      <c r="N503" s="4" t="str">
        <f>IF(Bike_Data[[#This Row],[Age]]&gt;=54,"Old",IF(Bike_Data[[#This Row],[Age]]&lt;30,"Young Adult","Middle Age"))</f>
        <v>Middle Age</v>
      </c>
      <c r="O503" s="5">
        <f t="shared" ca="1" si="7"/>
        <v>30341</v>
      </c>
      <c r="P503" s="2" t="s">
        <v>17</v>
      </c>
    </row>
    <row r="504" spans="1:16" x14ac:dyDescent="0.25">
      <c r="A504">
        <v>25651</v>
      </c>
      <c r="B504" s="2" t="s">
        <v>31</v>
      </c>
      <c r="C504" s="2" t="s">
        <v>34</v>
      </c>
      <c r="D504" s="4">
        <v>40000</v>
      </c>
      <c r="E50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4">
        <v>1</v>
      </c>
      <c r="G504" s="2" t="s">
        <v>12</v>
      </c>
      <c r="H504" s="2" t="s">
        <v>13</v>
      </c>
      <c r="I504" t="s">
        <v>17</v>
      </c>
      <c r="J504">
        <v>0</v>
      </c>
      <c r="K504" t="s">
        <v>15</v>
      </c>
      <c r="L504" s="2" t="s">
        <v>16</v>
      </c>
      <c r="M504" s="4">
        <v>43</v>
      </c>
      <c r="N504" s="4" t="str">
        <f>IF(Bike_Data[[#This Row],[Age]]&gt;=54,"Old",IF(Bike_Data[[#This Row],[Age]]&lt;30,"Young Adult","Middle Age"))</f>
        <v>Middle Age</v>
      </c>
      <c r="O504" s="5">
        <f t="shared" ca="1" si="7"/>
        <v>29712</v>
      </c>
      <c r="P504" s="2" t="s">
        <v>14</v>
      </c>
    </row>
    <row r="505" spans="1:16" x14ac:dyDescent="0.25">
      <c r="A505">
        <v>12510</v>
      </c>
      <c r="B505" s="2" t="s">
        <v>31</v>
      </c>
      <c r="C505" s="2" t="s">
        <v>34</v>
      </c>
      <c r="D505" s="4">
        <v>40000</v>
      </c>
      <c r="E50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5">
        <v>1</v>
      </c>
      <c r="G505" s="2" t="s">
        <v>12</v>
      </c>
      <c r="H505" s="2" t="s">
        <v>13</v>
      </c>
      <c r="I505" t="s">
        <v>14</v>
      </c>
      <c r="J505">
        <v>1</v>
      </c>
      <c r="K505" t="s">
        <v>15</v>
      </c>
      <c r="L505" s="2" t="s">
        <v>16</v>
      </c>
      <c r="M505" s="4">
        <v>43</v>
      </c>
      <c r="N505" s="4" t="str">
        <f>IF(Bike_Data[[#This Row],[Age]]&gt;=54,"Old",IF(Bike_Data[[#This Row],[Age]]&lt;30,"Young Adult","Middle Age"))</f>
        <v>Middle Age</v>
      </c>
      <c r="O505" s="5">
        <f t="shared" ca="1" si="7"/>
        <v>30672</v>
      </c>
      <c r="P505" s="2" t="s">
        <v>14</v>
      </c>
    </row>
    <row r="506" spans="1:16" x14ac:dyDescent="0.25">
      <c r="A506">
        <v>18267</v>
      </c>
      <c r="B506" s="2" t="s">
        <v>31</v>
      </c>
      <c r="C506" s="2" t="s">
        <v>34</v>
      </c>
      <c r="D506" s="4">
        <v>60000</v>
      </c>
      <c r="E50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06">
        <v>3</v>
      </c>
      <c r="G506" s="2" t="s">
        <v>12</v>
      </c>
      <c r="H506" s="2" t="s">
        <v>20</v>
      </c>
      <c r="I506" t="s">
        <v>14</v>
      </c>
      <c r="J506">
        <v>2</v>
      </c>
      <c r="K506" t="s">
        <v>22</v>
      </c>
      <c r="L506" s="2" t="s">
        <v>23</v>
      </c>
      <c r="M506" s="4">
        <v>43</v>
      </c>
      <c r="N506" s="4" t="str">
        <f>IF(Bike_Data[[#This Row],[Age]]&gt;=54,"Old",IF(Bike_Data[[#This Row],[Age]]&lt;30,"Young Adult","Middle Age"))</f>
        <v>Middle Age</v>
      </c>
      <c r="O506" s="5">
        <f t="shared" ca="1" si="7"/>
        <v>36046</v>
      </c>
      <c r="P506" s="2" t="s">
        <v>17</v>
      </c>
    </row>
    <row r="507" spans="1:16" x14ac:dyDescent="0.25">
      <c r="A507">
        <v>18018</v>
      </c>
      <c r="B507" s="2" t="s">
        <v>32</v>
      </c>
      <c r="C507" s="2" t="s">
        <v>34</v>
      </c>
      <c r="D507" s="4">
        <v>30000</v>
      </c>
      <c r="E50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7">
        <v>3</v>
      </c>
      <c r="G507" s="2" t="s">
        <v>18</v>
      </c>
      <c r="H507" s="2" t="s">
        <v>19</v>
      </c>
      <c r="I507" t="s">
        <v>14</v>
      </c>
      <c r="J507">
        <v>0</v>
      </c>
      <c r="K507" t="s">
        <v>15</v>
      </c>
      <c r="L507" s="2" t="s">
        <v>16</v>
      </c>
      <c r="M507" s="4">
        <v>43</v>
      </c>
      <c r="N507" s="4" t="str">
        <f>IF(Bike_Data[[#This Row],[Age]]&gt;=54,"Old",IF(Bike_Data[[#This Row],[Age]]&lt;30,"Young Adult","Middle Age"))</f>
        <v>Middle Age</v>
      </c>
      <c r="O507" s="5">
        <f t="shared" ca="1" si="7"/>
        <v>32838</v>
      </c>
      <c r="P507" s="2" t="s">
        <v>17</v>
      </c>
    </row>
    <row r="508" spans="1:16" x14ac:dyDescent="0.25">
      <c r="A508">
        <v>11116</v>
      </c>
      <c r="B508" s="2" t="s">
        <v>31</v>
      </c>
      <c r="C508" s="2" t="s">
        <v>34</v>
      </c>
      <c r="D508" s="4">
        <v>70000</v>
      </c>
      <c r="E50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08">
        <v>5</v>
      </c>
      <c r="G508" s="2" t="s">
        <v>18</v>
      </c>
      <c r="H508" s="2" t="s">
        <v>13</v>
      </c>
      <c r="I508" t="s">
        <v>14</v>
      </c>
      <c r="J508">
        <v>2</v>
      </c>
      <c r="K508" t="s">
        <v>22</v>
      </c>
      <c r="L508" s="2" t="s">
        <v>23</v>
      </c>
      <c r="M508" s="4">
        <v>43</v>
      </c>
      <c r="N508" s="4" t="str">
        <f>IF(Bike_Data[[#This Row],[Age]]&gt;=54,"Old",IF(Bike_Data[[#This Row],[Age]]&lt;30,"Young Adult","Middle Age"))</f>
        <v>Middle Age</v>
      </c>
      <c r="O508" s="5">
        <f t="shared" ca="1" si="7"/>
        <v>33339</v>
      </c>
      <c r="P508" s="2" t="s">
        <v>17</v>
      </c>
    </row>
    <row r="509" spans="1:16" x14ac:dyDescent="0.25">
      <c r="A509">
        <v>14805</v>
      </c>
      <c r="B509" s="2" t="s">
        <v>32</v>
      </c>
      <c r="C509" s="2" t="s">
        <v>33</v>
      </c>
      <c r="D509" s="4">
        <v>10000</v>
      </c>
      <c r="E50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09">
        <v>3</v>
      </c>
      <c r="G509" s="2" t="s">
        <v>28</v>
      </c>
      <c r="H509" s="2" t="s">
        <v>24</v>
      </c>
      <c r="I509" t="s">
        <v>14</v>
      </c>
      <c r="J509">
        <v>2</v>
      </c>
      <c r="K509" t="s">
        <v>15</v>
      </c>
      <c r="L509" s="2" t="s">
        <v>16</v>
      </c>
      <c r="M509" s="4">
        <v>43</v>
      </c>
      <c r="N509" s="4" t="str">
        <f>IF(Bike_Data[[#This Row],[Age]]&gt;=54,"Old",IF(Bike_Data[[#This Row],[Age]]&lt;30,"Young Adult","Middle Age"))</f>
        <v>Middle Age</v>
      </c>
      <c r="O509" s="5">
        <f t="shared" ca="1" si="7"/>
        <v>33617</v>
      </c>
      <c r="P509" s="2" t="s">
        <v>17</v>
      </c>
    </row>
    <row r="510" spans="1:16" x14ac:dyDescent="0.25">
      <c r="A510">
        <v>21108</v>
      </c>
      <c r="B510" s="2" t="s">
        <v>31</v>
      </c>
      <c r="C510" s="2" t="s">
        <v>33</v>
      </c>
      <c r="D510" s="4">
        <v>40000</v>
      </c>
      <c r="E51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10">
        <v>1</v>
      </c>
      <c r="G510" s="2" t="s">
        <v>12</v>
      </c>
      <c r="H510" s="2" t="s">
        <v>13</v>
      </c>
      <c r="I510" t="s">
        <v>14</v>
      </c>
      <c r="J510">
        <v>1</v>
      </c>
      <c r="K510" t="s">
        <v>15</v>
      </c>
      <c r="L510" s="2" t="s">
        <v>16</v>
      </c>
      <c r="M510" s="4">
        <v>43</v>
      </c>
      <c r="N510" s="4" t="str">
        <f>IF(Bike_Data[[#This Row],[Age]]&gt;=54,"Old",IF(Bike_Data[[#This Row],[Age]]&lt;30,"Young Adult","Middle Age"))</f>
        <v>Middle Age</v>
      </c>
      <c r="O510" s="5">
        <f t="shared" ca="1" si="7"/>
        <v>37437</v>
      </c>
      <c r="P510" s="2" t="s">
        <v>14</v>
      </c>
    </row>
    <row r="511" spans="1:16" x14ac:dyDescent="0.25">
      <c r="A511">
        <v>28323</v>
      </c>
      <c r="B511" s="2" t="s">
        <v>32</v>
      </c>
      <c r="C511" s="2" t="s">
        <v>34</v>
      </c>
      <c r="D511" s="4">
        <v>70000</v>
      </c>
      <c r="E51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1">
        <v>0</v>
      </c>
      <c r="G511" s="2" t="s">
        <v>12</v>
      </c>
      <c r="H511" s="2" t="s">
        <v>20</v>
      </c>
      <c r="I511" t="s">
        <v>17</v>
      </c>
      <c r="J511">
        <v>2</v>
      </c>
      <c r="K511" t="s">
        <v>22</v>
      </c>
      <c r="L511" s="2" t="s">
        <v>23</v>
      </c>
      <c r="M511" s="4">
        <v>43</v>
      </c>
      <c r="N511" s="4" t="str">
        <f>IF(Bike_Data[[#This Row],[Age]]&gt;=54,"Old",IF(Bike_Data[[#This Row],[Age]]&lt;30,"Young Adult","Middle Age"))</f>
        <v>Middle Age</v>
      </c>
      <c r="O511" s="5">
        <f t="shared" ca="1" si="7"/>
        <v>26900</v>
      </c>
      <c r="P511" s="2" t="s">
        <v>14</v>
      </c>
    </row>
    <row r="512" spans="1:16" x14ac:dyDescent="0.25">
      <c r="A512">
        <v>15529</v>
      </c>
      <c r="B512" s="2" t="s">
        <v>31</v>
      </c>
      <c r="C512" s="2" t="s">
        <v>34</v>
      </c>
      <c r="D512" s="4">
        <v>60000</v>
      </c>
      <c r="E51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2">
        <v>4</v>
      </c>
      <c r="G512" s="2" t="s">
        <v>12</v>
      </c>
      <c r="H512" s="2" t="s">
        <v>20</v>
      </c>
      <c r="I512" t="s">
        <v>14</v>
      </c>
      <c r="J512">
        <v>2</v>
      </c>
      <c r="K512" t="s">
        <v>21</v>
      </c>
      <c r="L512" s="2" t="s">
        <v>30</v>
      </c>
      <c r="M512" s="4">
        <v>43</v>
      </c>
      <c r="N512" s="4" t="str">
        <f>IF(Bike_Data[[#This Row],[Age]]&gt;=54,"Old",IF(Bike_Data[[#This Row],[Age]]&lt;30,"Young Adult","Middle Age"))</f>
        <v>Middle Age</v>
      </c>
      <c r="O512" s="5">
        <f t="shared" ca="1" si="7"/>
        <v>29964</v>
      </c>
      <c r="P512" s="2" t="s">
        <v>14</v>
      </c>
    </row>
    <row r="513" spans="1:16" x14ac:dyDescent="0.25">
      <c r="A513">
        <v>29231</v>
      </c>
      <c r="B513" s="2" t="s">
        <v>32</v>
      </c>
      <c r="C513" s="2" t="s">
        <v>34</v>
      </c>
      <c r="D513" s="4">
        <v>80000</v>
      </c>
      <c r="E51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3">
        <v>4</v>
      </c>
      <c r="G513" s="2" t="s">
        <v>18</v>
      </c>
      <c r="H513" s="2" t="s">
        <v>20</v>
      </c>
      <c r="I513" t="s">
        <v>17</v>
      </c>
      <c r="J513">
        <v>2</v>
      </c>
      <c r="K513" t="s">
        <v>15</v>
      </c>
      <c r="L513" s="2" t="s">
        <v>30</v>
      </c>
      <c r="M513" s="4">
        <v>43</v>
      </c>
      <c r="N513" s="4" t="str">
        <f>IF(Bike_Data[[#This Row],[Age]]&gt;=54,"Old",IF(Bike_Data[[#This Row],[Age]]&lt;30,"Young Adult","Middle Age"))</f>
        <v>Middle Age</v>
      </c>
      <c r="O513" s="5">
        <f t="shared" ca="1" si="7"/>
        <v>27342</v>
      </c>
      <c r="P513" s="2" t="s">
        <v>17</v>
      </c>
    </row>
    <row r="514" spans="1:16" x14ac:dyDescent="0.25">
      <c r="A514">
        <v>25983</v>
      </c>
      <c r="B514" s="2" t="s">
        <v>31</v>
      </c>
      <c r="C514" s="2" t="s">
        <v>34</v>
      </c>
      <c r="D514" s="4">
        <v>70000</v>
      </c>
      <c r="E51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4">
        <v>0</v>
      </c>
      <c r="G514" s="2" t="s">
        <v>12</v>
      </c>
      <c r="H514" s="2" t="s">
        <v>20</v>
      </c>
      <c r="I514" t="s">
        <v>17</v>
      </c>
      <c r="J514">
        <v>1</v>
      </c>
      <c r="K514" t="s">
        <v>15</v>
      </c>
      <c r="L514" s="2" t="s">
        <v>30</v>
      </c>
      <c r="M514" s="4">
        <v>43</v>
      </c>
      <c r="N514" s="4" t="str">
        <f>IF(Bike_Data[[#This Row],[Age]]&gt;=54,"Old",IF(Bike_Data[[#This Row],[Age]]&lt;30,"Young Adult","Middle Age"))</f>
        <v>Middle Age</v>
      </c>
      <c r="O514" s="5">
        <f t="shared" ca="1" si="7"/>
        <v>29230</v>
      </c>
      <c r="P514" s="2" t="s">
        <v>17</v>
      </c>
    </row>
    <row r="515" spans="1:16" x14ac:dyDescent="0.25">
      <c r="A515">
        <v>29237</v>
      </c>
      <c r="B515" s="2" t="s">
        <v>32</v>
      </c>
      <c r="C515" s="2" t="s">
        <v>33</v>
      </c>
      <c r="D515" s="4">
        <v>120000</v>
      </c>
      <c r="E51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15">
        <v>4</v>
      </c>
      <c r="G515" s="2" t="s">
        <v>18</v>
      </c>
      <c r="H515" s="2" t="s">
        <v>20</v>
      </c>
      <c r="I515" t="s">
        <v>14</v>
      </c>
      <c r="J515">
        <v>3</v>
      </c>
      <c r="K515" t="s">
        <v>22</v>
      </c>
      <c r="L515" s="2" t="s">
        <v>30</v>
      </c>
      <c r="M515" s="4">
        <v>43</v>
      </c>
      <c r="N515" s="4" t="str">
        <f>IF(Bike_Data[[#This Row],[Age]]&gt;=54,"Old",IF(Bike_Data[[#This Row],[Age]]&lt;30,"Young Adult","Middle Age"))</f>
        <v>Middle Age</v>
      </c>
      <c r="O515" s="5">
        <f t="shared" ref="O515:O578" ca="1" si="8">RANDBETWEEN(DATE(1971,1,1), DATE(2003,12,31))</f>
        <v>29012</v>
      </c>
      <c r="P515" s="2" t="s">
        <v>14</v>
      </c>
    </row>
    <row r="516" spans="1:16" x14ac:dyDescent="0.25">
      <c r="A516">
        <v>23479</v>
      </c>
      <c r="B516" s="2" t="s">
        <v>32</v>
      </c>
      <c r="C516" s="2" t="s">
        <v>34</v>
      </c>
      <c r="D516" s="4">
        <v>90000</v>
      </c>
      <c r="E51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6">
        <v>0</v>
      </c>
      <c r="G516" s="2" t="s">
        <v>18</v>
      </c>
      <c r="H516" s="2" t="s">
        <v>20</v>
      </c>
      <c r="I516" t="s">
        <v>17</v>
      </c>
      <c r="J516">
        <v>2</v>
      </c>
      <c r="K516" t="s">
        <v>15</v>
      </c>
      <c r="L516" s="2" t="s">
        <v>30</v>
      </c>
      <c r="M516" s="4">
        <v>43</v>
      </c>
      <c r="N516" s="4" t="str">
        <f>IF(Bike_Data[[#This Row],[Age]]&gt;=54,"Old",IF(Bike_Data[[#This Row],[Age]]&lt;30,"Young Adult","Middle Age"))</f>
        <v>Middle Age</v>
      </c>
      <c r="O516" s="5">
        <f t="shared" ca="1" si="8"/>
        <v>31029</v>
      </c>
      <c r="P516" s="2" t="s">
        <v>14</v>
      </c>
    </row>
    <row r="517" spans="1:16" x14ac:dyDescent="0.25">
      <c r="A517">
        <v>23217</v>
      </c>
      <c r="B517" s="2" t="s">
        <v>32</v>
      </c>
      <c r="C517" s="2" t="s">
        <v>33</v>
      </c>
      <c r="D517" s="4">
        <v>60000</v>
      </c>
      <c r="E51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7">
        <v>3</v>
      </c>
      <c r="G517" s="2" t="s">
        <v>29</v>
      </c>
      <c r="H517" s="2" t="s">
        <v>20</v>
      </c>
      <c r="I517" t="s">
        <v>14</v>
      </c>
      <c r="J517">
        <v>0</v>
      </c>
      <c r="K517" t="s">
        <v>21</v>
      </c>
      <c r="L517" s="2" t="s">
        <v>30</v>
      </c>
      <c r="M517" s="4">
        <v>43</v>
      </c>
      <c r="N517" s="4" t="str">
        <f>IF(Bike_Data[[#This Row],[Age]]&gt;=54,"Old",IF(Bike_Data[[#This Row],[Age]]&lt;30,"Young Adult","Middle Age"))</f>
        <v>Middle Age</v>
      </c>
      <c r="O517" s="5">
        <f t="shared" ca="1" si="8"/>
        <v>28497</v>
      </c>
      <c r="P517" s="2" t="s">
        <v>14</v>
      </c>
    </row>
    <row r="518" spans="1:16" x14ac:dyDescent="0.25">
      <c r="A518">
        <v>19660</v>
      </c>
      <c r="B518" s="2" t="s">
        <v>31</v>
      </c>
      <c r="C518" s="2" t="s">
        <v>34</v>
      </c>
      <c r="D518" s="4">
        <v>80000</v>
      </c>
      <c r="E51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8">
        <v>4</v>
      </c>
      <c r="G518" s="2" t="s">
        <v>12</v>
      </c>
      <c r="H518" s="2" t="s">
        <v>27</v>
      </c>
      <c r="I518" t="s">
        <v>14</v>
      </c>
      <c r="J518">
        <v>0</v>
      </c>
      <c r="K518" t="s">
        <v>15</v>
      </c>
      <c r="L518" s="2" t="s">
        <v>30</v>
      </c>
      <c r="M518" s="4">
        <v>43</v>
      </c>
      <c r="N518" s="4" t="str">
        <f>IF(Bike_Data[[#This Row],[Age]]&gt;=54,"Old",IF(Bike_Data[[#This Row],[Age]]&lt;30,"Young Adult","Middle Age"))</f>
        <v>Middle Age</v>
      </c>
      <c r="O518" s="5">
        <f t="shared" ca="1" si="8"/>
        <v>36085</v>
      </c>
      <c r="P518" s="2" t="s">
        <v>17</v>
      </c>
    </row>
    <row r="519" spans="1:16" x14ac:dyDescent="0.25">
      <c r="A519">
        <v>16112</v>
      </c>
      <c r="B519" s="2" t="s">
        <v>32</v>
      </c>
      <c r="C519" s="2" t="s">
        <v>34</v>
      </c>
      <c r="D519" s="4">
        <v>70000</v>
      </c>
      <c r="E51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19">
        <v>4</v>
      </c>
      <c r="G519" s="2" t="s">
        <v>12</v>
      </c>
      <c r="H519" s="2" t="s">
        <v>20</v>
      </c>
      <c r="I519" t="s">
        <v>14</v>
      </c>
      <c r="J519">
        <v>2</v>
      </c>
      <c r="K519" t="s">
        <v>21</v>
      </c>
      <c r="L519" s="2" t="s">
        <v>30</v>
      </c>
      <c r="M519" s="4">
        <v>43</v>
      </c>
      <c r="N519" s="4" t="str">
        <f>IF(Bike_Data[[#This Row],[Age]]&gt;=54,"Old",IF(Bike_Data[[#This Row],[Age]]&lt;30,"Young Adult","Middle Age"))</f>
        <v>Middle Age</v>
      </c>
      <c r="O519" s="5">
        <f t="shared" ca="1" si="8"/>
        <v>27908</v>
      </c>
      <c r="P519" s="2" t="s">
        <v>14</v>
      </c>
    </row>
    <row r="520" spans="1:16" x14ac:dyDescent="0.25">
      <c r="A520">
        <v>15532</v>
      </c>
      <c r="B520" s="2" t="s">
        <v>32</v>
      </c>
      <c r="C520" s="2" t="s">
        <v>34</v>
      </c>
      <c r="D520" s="4">
        <v>60000</v>
      </c>
      <c r="E52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20">
        <v>4</v>
      </c>
      <c r="G520" s="2" t="s">
        <v>12</v>
      </c>
      <c r="H520" s="2" t="s">
        <v>20</v>
      </c>
      <c r="I520" t="s">
        <v>14</v>
      </c>
      <c r="J520">
        <v>2</v>
      </c>
      <c r="K520" t="s">
        <v>21</v>
      </c>
      <c r="L520" s="2" t="s">
        <v>30</v>
      </c>
      <c r="M520" s="4">
        <v>43</v>
      </c>
      <c r="N520" s="4" t="str">
        <f>IF(Bike_Data[[#This Row],[Age]]&gt;=54,"Old",IF(Bike_Data[[#This Row],[Age]]&lt;30,"Young Adult","Middle Age"))</f>
        <v>Middle Age</v>
      </c>
      <c r="O520" s="5">
        <f t="shared" ca="1" si="8"/>
        <v>34645</v>
      </c>
      <c r="P520" s="2" t="s">
        <v>14</v>
      </c>
    </row>
    <row r="521" spans="1:16" x14ac:dyDescent="0.25">
      <c r="A521">
        <v>21660</v>
      </c>
      <c r="B521" s="2" t="s">
        <v>31</v>
      </c>
      <c r="C521" s="2" t="s">
        <v>33</v>
      </c>
      <c r="D521" s="4">
        <v>60000</v>
      </c>
      <c r="E52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21">
        <v>3</v>
      </c>
      <c r="G521" s="2" t="s">
        <v>29</v>
      </c>
      <c r="H521" s="2" t="s">
        <v>20</v>
      </c>
      <c r="I521" t="s">
        <v>14</v>
      </c>
      <c r="J521">
        <v>0</v>
      </c>
      <c r="K521" t="s">
        <v>21</v>
      </c>
      <c r="L521" s="2" t="s">
        <v>30</v>
      </c>
      <c r="M521" s="4">
        <v>43</v>
      </c>
      <c r="N521" s="4" t="str">
        <f>IF(Bike_Data[[#This Row],[Age]]&gt;=54,"Old",IF(Bike_Data[[#This Row],[Age]]&lt;30,"Young Adult","Middle Age"))</f>
        <v>Middle Age</v>
      </c>
      <c r="O521" s="5">
        <f t="shared" ca="1" si="8"/>
        <v>26403</v>
      </c>
      <c r="P521" s="2" t="s">
        <v>14</v>
      </c>
    </row>
    <row r="522" spans="1:16" x14ac:dyDescent="0.25">
      <c r="A522">
        <v>29243</v>
      </c>
      <c r="B522" s="2" t="s">
        <v>32</v>
      </c>
      <c r="C522" s="2" t="s">
        <v>34</v>
      </c>
      <c r="D522" s="4">
        <v>110000</v>
      </c>
      <c r="E52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22">
        <v>1</v>
      </c>
      <c r="G522" s="2" t="s">
        <v>12</v>
      </c>
      <c r="H522" s="2" t="s">
        <v>27</v>
      </c>
      <c r="I522" t="s">
        <v>14</v>
      </c>
      <c r="J522">
        <v>1</v>
      </c>
      <c r="K522" t="s">
        <v>22</v>
      </c>
      <c r="L522" s="2" t="s">
        <v>30</v>
      </c>
      <c r="M522" s="4">
        <v>43</v>
      </c>
      <c r="N522" s="4" t="str">
        <f>IF(Bike_Data[[#This Row],[Age]]&gt;=54,"Old",IF(Bike_Data[[#This Row],[Age]]&lt;30,"Young Adult","Middle Age"))</f>
        <v>Middle Age</v>
      </c>
      <c r="O522" s="5">
        <f t="shared" ca="1" si="8"/>
        <v>35323</v>
      </c>
      <c r="P522" s="2" t="s">
        <v>17</v>
      </c>
    </row>
    <row r="523" spans="1:16" x14ac:dyDescent="0.25">
      <c r="A523">
        <v>19163</v>
      </c>
      <c r="B523" s="2" t="s">
        <v>31</v>
      </c>
      <c r="C523" s="2" t="s">
        <v>33</v>
      </c>
      <c r="D523" s="4">
        <v>70000</v>
      </c>
      <c r="E52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23">
        <v>4</v>
      </c>
      <c r="G523" s="2" t="s">
        <v>12</v>
      </c>
      <c r="H523" s="2" t="s">
        <v>20</v>
      </c>
      <c r="I523" t="s">
        <v>14</v>
      </c>
      <c r="J523">
        <v>2</v>
      </c>
      <c r="K523" t="s">
        <v>15</v>
      </c>
      <c r="L523" s="2" t="s">
        <v>30</v>
      </c>
      <c r="M523" s="4">
        <v>43</v>
      </c>
      <c r="N523" s="4" t="str">
        <f>IF(Bike_Data[[#This Row],[Age]]&gt;=54,"Old",IF(Bike_Data[[#This Row],[Age]]&lt;30,"Young Adult","Middle Age"))</f>
        <v>Middle Age</v>
      </c>
      <c r="O523" s="5">
        <f t="shared" ca="1" si="8"/>
        <v>32384</v>
      </c>
      <c r="P523" s="2" t="s">
        <v>14</v>
      </c>
    </row>
    <row r="524" spans="1:16" x14ac:dyDescent="0.25">
      <c r="A524">
        <v>17000</v>
      </c>
      <c r="B524" s="2" t="s">
        <v>32</v>
      </c>
      <c r="C524" s="2" t="s">
        <v>33</v>
      </c>
      <c r="D524" s="4">
        <v>70000</v>
      </c>
      <c r="E52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24">
        <v>4</v>
      </c>
      <c r="G524" s="2" t="s">
        <v>12</v>
      </c>
      <c r="H524" s="2" t="s">
        <v>13</v>
      </c>
      <c r="I524" t="s">
        <v>14</v>
      </c>
      <c r="J524">
        <v>2</v>
      </c>
      <c r="K524" t="s">
        <v>21</v>
      </c>
      <c r="L524" s="2" t="s">
        <v>30</v>
      </c>
      <c r="M524" s="4">
        <v>43</v>
      </c>
      <c r="N524" s="4" t="str">
        <f>IF(Bike_Data[[#This Row],[Age]]&gt;=54,"Old",IF(Bike_Data[[#This Row],[Age]]&lt;30,"Young Adult","Middle Age"))</f>
        <v>Middle Age</v>
      </c>
      <c r="O524" s="5">
        <f t="shared" ca="1" si="8"/>
        <v>36173</v>
      </c>
      <c r="P524" s="2" t="s">
        <v>14</v>
      </c>
    </row>
    <row r="525" spans="1:16" x14ac:dyDescent="0.25">
      <c r="A525">
        <v>17541</v>
      </c>
      <c r="B525" s="2" t="s">
        <v>31</v>
      </c>
      <c r="C525" s="2" t="s">
        <v>33</v>
      </c>
      <c r="D525" s="4">
        <v>40000</v>
      </c>
      <c r="E52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25">
        <v>4</v>
      </c>
      <c r="G525" s="2" t="s">
        <v>26</v>
      </c>
      <c r="H525" s="2" t="s">
        <v>13</v>
      </c>
      <c r="I525" t="s">
        <v>14</v>
      </c>
      <c r="J525">
        <v>2</v>
      </c>
      <c r="K525" t="s">
        <v>21</v>
      </c>
      <c r="L525" s="2" t="s">
        <v>30</v>
      </c>
      <c r="M525" s="4">
        <v>43</v>
      </c>
      <c r="N525" s="4" t="str">
        <f>IF(Bike_Data[[#This Row],[Age]]&gt;=54,"Old",IF(Bike_Data[[#This Row],[Age]]&lt;30,"Young Adult","Middle Age"))</f>
        <v>Middle Age</v>
      </c>
      <c r="O525" s="5">
        <f t="shared" ca="1" si="8"/>
        <v>37148</v>
      </c>
      <c r="P525" s="2" t="s">
        <v>17</v>
      </c>
    </row>
    <row r="526" spans="1:16" x14ac:dyDescent="0.25">
      <c r="A526">
        <v>18299</v>
      </c>
      <c r="B526" s="2" t="s">
        <v>31</v>
      </c>
      <c r="C526" s="2" t="s">
        <v>34</v>
      </c>
      <c r="D526" s="4">
        <v>70000</v>
      </c>
      <c r="E52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26">
        <v>5</v>
      </c>
      <c r="G526" s="2" t="s">
        <v>18</v>
      </c>
      <c r="H526" s="2" t="s">
        <v>13</v>
      </c>
      <c r="I526" t="s">
        <v>14</v>
      </c>
      <c r="J526">
        <v>2</v>
      </c>
      <c r="K526" t="s">
        <v>22</v>
      </c>
      <c r="L526" s="2" t="s">
        <v>23</v>
      </c>
      <c r="M526" s="4">
        <v>44</v>
      </c>
      <c r="N526" s="4" t="str">
        <f>IF(Bike_Data[[#This Row],[Age]]&gt;=54,"Old",IF(Bike_Data[[#This Row],[Age]]&lt;30,"Young Adult","Middle Age"))</f>
        <v>Middle Age</v>
      </c>
      <c r="O526" s="5">
        <f t="shared" ca="1" si="8"/>
        <v>27939</v>
      </c>
      <c r="P526" s="2" t="s">
        <v>17</v>
      </c>
    </row>
    <row r="527" spans="1:16" x14ac:dyDescent="0.25">
      <c r="A527">
        <v>23940</v>
      </c>
      <c r="B527" s="2" t="s">
        <v>31</v>
      </c>
      <c r="C527" s="2" t="s">
        <v>34</v>
      </c>
      <c r="D527" s="4">
        <v>40000</v>
      </c>
      <c r="E52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27">
        <v>1</v>
      </c>
      <c r="G527" s="2" t="s">
        <v>12</v>
      </c>
      <c r="H527" s="2" t="s">
        <v>13</v>
      </c>
      <c r="I527" t="s">
        <v>14</v>
      </c>
      <c r="J527">
        <v>1</v>
      </c>
      <c r="K527" t="s">
        <v>15</v>
      </c>
      <c r="L527" s="2" t="s">
        <v>16</v>
      </c>
      <c r="M527" s="4">
        <v>44</v>
      </c>
      <c r="N527" s="4" t="str">
        <f>IF(Bike_Data[[#This Row],[Age]]&gt;=54,"Old",IF(Bike_Data[[#This Row],[Age]]&lt;30,"Young Adult","Middle Age"))</f>
        <v>Middle Age</v>
      </c>
      <c r="O527" s="5">
        <f t="shared" ca="1" si="8"/>
        <v>35814</v>
      </c>
      <c r="P527" s="2" t="s">
        <v>14</v>
      </c>
    </row>
    <row r="528" spans="1:16" x14ac:dyDescent="0.25">
      <c r="A528">
        <v>21980</v>
      </c>
      <c r="B528" s="2" t="s">
        <v>32</v>
      </c>
      <c r="C528" s="2" t="s">
        <v>33</v>
      </c>
      <c r="D528" s="4">
        <v>60000</v>
      </c>
      <c r="E52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28">
        <v>1</v>
      </c>
      <c r="G528" s="2" t="s">
        <v>12</v>
      </c>
      <c r="H528" s="2" t="s">
        <v>20</v>
      </c>
      <c r="I528" t="s">
        <v>14</v>
      </c>
      <c r="J528">
        <v>1</v>
      </c>
      <c r="K528" t="s">
        <v>22</v>
      </c>
      <c r="L528" s="2" t="s">
        <v>23</v>
      </c>
      <c r="M528" s="4">
        <v>44</v>
      </c>
      <c r="N528" s="4" t="str">
        <f>IF(Bike_Data[[#This Row],[Age]]&gt;=54,"Old",IF(Bike_Data[[#This Row],[Age]]&lt;30,"Young Adult","Middle Age"))</f>
        <v>Middle Age</v>
      </c>
      <c r="O528" s="5">
        <f t="shared" ca="1" si="8"/>
        <v>29980</v>
      </c>
      <c r="P528" s="2" t="s">
        <v>14</v>
      </c>
    </row>
    <row r="529" spans="1:16" x14ac:dyDescent="0.25">
      <c r="A529">
        <v>25529</v>
      </c>
      <c r="B529" s="2" t="s">
        <v>32</v>
      </c>
      <c r="C529" s="2" t="s">
        <v>34</v>
      </c>
      <c r="D529" s="4">
        <v>10000</v>
      </c>
      <c r="E52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29">
        <v>1</v>
      </c>
      <c r="G529" s="2" t="s">
        <v>29</v>
      </c>
      <c r="H529" s="2" t="s">
        <v>24</v>
      </c>
      <c r="I529" t="s">
        <v>14</v>
      </c>
      <c r="J529">
        <v>0</v>
      </c>
      <c r="K529" t="s">
        <v>15</v>
      </c>
      <c r="L529" s="2" t="s">
        <v>16</v>
      </c>
      <c r="M529" s="4">
        <v>44</v>
      </c>
      <c r="N529" s="4" t="str">
        <f>IF(Bike_Data[[#This Row],[Age]]&gt;=54,"Old",IF(Bike_Data[[#This Row],[Age]]&lt;30,"Young Adult","Middle Age"))</f>
        <v>Middle Age</v>
      </c>
      <c r="O529" s="5">
        <f t="shared" ca="1" si="8"/>
        <v>32965</v>
      </c>
      <c r="P529" s="2" t="s">
        <v>17</v>
      </c>
    </row>
    <row r="530" spans="1:16" x14ac:dyDescent="0.25">
      <c r="A530">
        <v>19482</v>
      </c>
      <c r="B530" s="2" t="s">
        <v>31</v>
      </c>
      <c r="C530" s="2" t="s">
        <v>34</v>
      </c>
      <c r="D530" s="4">
        <v>30000</v>
      </c>
      <c r="E5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30">
        <v>1</v>
      </c>
      <c r="G530" s="2" t="s">
        <v>18</v>
      </c>
      <c r="H530" s="2" t="s">
        <v>19</v>
      </c>
      <c r="I530" t="s">
        <v>14</v>
      </c>
      <c r="J530">
        <v>1</v>
      </c>
      <c r="K530" t="s">
        <v>15</v>
      </c>
      <c r="L530" s="2" t="s">
        <v>16</v>
      </c>
      <c r="M530" s="4">
        <v>44</v>
      </c>
      <c r="N530" s="4" t="str">
        <f>IF(Bike_Data[[#This Row],[Age]]&gt;=54,"Old",IF(Bike_Data[[#This Row],[Age]]&lt;30,"Young Adult","Middle Age"))</f>
        <v>Middle Age</v>
      </c>
      <c r="O530" s="5">
        <f t="shared" ca="1" si="8"/>
        <v>34320</v>
      </c>
      <c r="P530" s="2" t="s">
        <v>14</v>
      </c>
    </row>
    <row r="531" spans="1:16" x14ac:dyDescent="0.25">
      <c r="A531">
        <v>25693</v>
      </c>
      <c r="B531" s="2" t="s">
        <v>32</v>
      </c>
      <c r="C531" s="2" t="s">
        <v>33</v>
      </c>
      <c r="D531" s="4">
        <v>30000</v>
      </c>
      <c r="E53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31">
        <v>5</v>
      </c>
      <c r="G531" s="2" t="s">
        <v>29</v>
      </c>
      <c r="H531" s="2" t="s">
        <v>19</v>
      </c>
      <c r="I531" t="s">
        <v>14</v>
      </c>
      <c r="J531">
        <v>0</v>
      </c>
      <c r="K531" t="s">
        <v>15</v>
      </c>
      <c r="L531" s="2" t="s">
        <v>16</v>
      </c>
      <c r="M531" s="4">
        <v>44</v>
      </c>
      <c r="N531" s="4" t="str">
        <f>IF(Bike_Data[[#This Row],[Age]]&gt;=54,"Old",IF(Bike_Data[[#This Row],[Age]]&lt;30,"Young Adult","Middle Age"))</f>
        <v>Middle Age</v>
      </c>
      <c r="O531" s="5">
        <f t="shared" ca="1" si="8"/>
        <v>37491</v>
      </c>
      <c r="P531" s="2" t="s">
        <v>14</v>
      </c>
    </row>
    <row r="532" spans="1:16" x14ac:dyDescent="0.25">
      <c r="A532">
        <v>22381</v>
      </c>
      <c r="B532" s="2" t="s">
        <v>31</v>
      </c>
      <c r="C532" s="2" t="s">
        <v>34</v>
      </c>
      <c r="D532" s="4">
        <v>10000</v>
      </c>
      <c r="E53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32">
        <v>1</v>
      </c>
      <c r="G532" s="2" t="s">
        <v>29</v>
      </c>
      <c r="H532" s="2" t="s">
        <v>24</v>
      </c>
      <c r="I532" t="s">
        <v>14</v>
      </c>
      <c r="J532">
        <v>0</v>
      </c>
      <c r="K532" t="s">
        <v>15</v>
      </c>
      <c r="L532" s="2" t="s">
        <v>16</v>
      </c>
      <c r="M532" s="4">
        <v>44</v>
      </c>
      <c r="N532" s="4" t="str">
        <f>IF(Bike_Data[[#This Row],[Age]]&gt;=54,"Old",IF(Bike_Data[[#This Row],[Age]]&lt;30,"Young Adult","Middle Age"))</f>
        <v>Middle Age</v>
      </c>
      <c r="O532" s="5">
        <f t="shared" ca="1" si="8"/>
        <v>26309</v>
      </c>
      <c r="P532" s="2" t="s">
        <v>17</v>
      </c>
    </row>
    <row r="533" spans="1:16" x14ac:dyDescent="0.25">
      <c r="A533">
        <v>17882</v>
      </c>
      <c r="B533" s="2" t="s">
        <v>31</v>
      </c>
      <c r="C533" s="2" t="s">
        <v>34</v>
      </c>
      <c r="D533" s="4">
        <v>20000</v>
      </c>
      <c r="E53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33">
        <v>1</v>
      </c>
      <c r="G533" s="2" t="s">
        <v>29</v>
      </c>
      <c r="H533" s="2" t="s">
        <v>19</v>
      </c>
      <c r="I533" t="s">
        <v>14</v>
      </c>
      <c r="J533">
        <v>0</v>
      </c>
      <c r="K533" t="s">
        <v>15</v>
      </c>
      <c r="L533" s="2" t="s">
        <v>16</v>
      </c>
      <c r="M533" s="4">
        <v>44</v>
      </c>
      <c r="N533" s="4" t="str">
        <f>IF(Bike_Data[[#This Row],[Age]]&gt;=54,"Old",IF(Bike_Data[[#This Row],[Age]]&lt;30,"Young Adult","Middle Age"))</f>
        <v>Middle Age</v>
      </c>
      <c r="O533" s="5">
        <f t="shared" ca="1" si="8"/>
        <v>33139</v>
      </c>
      <c r="P533" s="2" t="s">
        <v>17</v>
      </c>
    </row>
    <row r="534" spans="1:16" x14ac:dyDescent="0.25">
      <c r="A534">
        <v>19618</v>
      </c>
      <c r="B534" s="2" t="s">
        <v>31</v>
      </c>
      <c r="C534" s="2" t="s">
        <v>34</v>
      </c>
      <c r="D534" s="4">
        <v>70000</v>
      </c>
      <c r="E53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34">
        <v>5</v>
      </c>
      <c r="G534" s="2" t="s">
        <v>18</v>
      </c>
      <c r="H534" s="2" t="s">
        <v>13</v>
      </c>
      <c r="I534" t="s">
        <v>14</v>
      </c>
      <c r="J534">
        <v>2</v>
      </c>
      <c r="K534" t="s">
        <v>15</v>
      </c>
      <c r="L534" s="2" t="s">
        <v>23</v>
      </c>
      <c r="M534" s="4">
        <v>44</v>
      </c>
      <c r="N534" s="4" t="str">
        <f>IF(Bike_Data[[#This Row],[Age]]&gt;=54,"Old",IF(Bike_Data[[#This Row],[Age]]&lt;30,"Young Adult","Middle Age"))</f>
        <v>Middle Age</v>
      </c>
      <c r="O534" s="5">
        <f t="shared" ca="1" si="8"/>
        <v>33923</v>
      </c>
      <c r="P534" s="2" t="s">
        <v>17</v>
      </c>
    </row>
    <row r="535" spans="1:16" x14ac:dyDescent="0.25">
      <c r="A535">
        <v>20339</v>
      </c>
      <c r="B535" s="2" t="s">
        <v>31</v>
      </c>
      <c r="C535" s="2" t="s">
        <v>33</v>
      </c>
      <c r="D535" s="4">
        <v>130000</v>
      </c>
      <c r="E53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35">
        <v>1</v>
      </c>
      <c r="G535" s="2" t="s">
        <v>12</v>
      </c>
      <c r="H535" s="2" t="s">
        <v>27</v>
      </c>
      <c r="I535" t="s">
        <v>14</v>
      </c>
      <c r="J535">
        <v>4</v>
      </c>
      <c r="K535" t="s">
        <v>21</v>
      </c>
      <c r="L535" s="2" t="s">
        <v>30</v>
      </c>
      <c r="M535" s="4">
        <v>44</v>
      </c>
      <c r="N535" s="4" t="str">
        <f>IF(Bike_Data[[#This Row],[Age]]&gt;=54,"Old",IF(Bike_Data[[#This Row],[Age]]&lt;30,"Young Adult","Middle Age"))</f>
        <v>Middle Age</v>
      </c>
      <c r="O535" s="5">
        <f t="shared" ca="1" si="8"/>
        <v>29000</v>
      </c>
      <c r="P535" s="2" t="s">
        <v>14</v>
      </c>
    </row>
    <row r="536" spans="1:16" x14ac:dyDescent="0.25">
      <c r="A536">
        <v>27638</v>
      </c>
      <c r="B536" s="2" t="s">
        <v>32</v>
      </c>
      <c r="C536" s="2" t="s">
        <v>34</v>
      </c>
      <c r="D536" s="4">
        <v>100000</v>
      </c>
      <c r="E53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36">
        <v>1</v>
      </c>
      <c r="G536" s="2" t="s">
        <v>18</v>
      </c>
      <c r="H536" s="2" t="s">
        <v>20</v>
      </c>
      <c r="I536" t="s">
        <v>17</v>
      </c>
      <c r="J536">
        <v>3</v>
      </c>
      <c r="K536" t="s">
        <v>25</v>
      </c>
      <c r="L536" s="2" t="s">
        <v>30</v>
      </c>
      <c r="M536" s="4">
        <v>44</v>
      </c>
      <c r="N536" s="4" t="str">
        <f>IF(Bike_Data[[#This Row],[Age]]&gt;=54,"Old",IF(Bike_Data[[#This Row],[Age]]&lt;30,"Young Adult","Middle Age"))</f>
        <v>Middle Age</v>
      </c>
      <c r="O536" s="5">
        <f t="shared" ca="1" si="8"/>
        <v>33278</v>
      </c>
      <c r="P536" s="2" t="s">
        <v>17</v>
      </c>
    </row>
    <row r="537" spans="1:16" x14ac:dyDescent="0.25">
      <c r="A537">
        <v>15382</v>
      </c>
      <c r="B537" s="2" t="s">
        <v>31</v>
      </c>
      <c r="C537" s="2" t="s">
        <v>33</v>
      </c>
      <c r="D537" s="4">
        <v>110000</v>
      </c>
      <c r="E53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37">
        <v>1</v>
      </c>
      <c r="G537" s="2" t="s">
        <v>12</v>
      </c>
      <c r="H537" s="2" t="s">
        <v>27</v>
      </c>
      <c r="I537" t="s">
        <v>14</v>
      </c>
      <c r="J537">
        <v>2</v>
      </c>
      <c r="K537" t="s">
        <v>25</v>
      </c>
      <c r="L537" s="2" t="s">
        <v>30</v>
      </c>
      <c r="M537" s="4">
        <v>44</v>
      </c>
      <c r="N537" s="4" t="str">
        <f>IF(Bike_Data[[#This Row],[Age]]&gt;=54,"Old",IF(Bike_Data[[#This Row],[Age]]&lt;30,"Young Adult","Middle Age"))</f>
        <v>Middle Age</v>
      </c>
      <c r="O537" s="5">
        <f t="shared" ca="1" si="8"/>
        <v>33260</v>
      </c>
      <c r="P537" s="2" t="s">
        <v>17</v>
      </c>
    </row>
    <row r="538" spans="1:16" x14ac:dyDescent="0.25">
      <c r="A538">
        <v>29143</v>
      </c>
      <c r="B538" s="2" t="s">
        <v>32</v>
      </c>
      <c r="C538" s="2" t="s">
        <v>33</v>
      </c>
      <c r="D538" s="4">
        <v>60000</v>
      </c>
      <c r="E53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38">
        <v>1</v>
      </c>
      <c r="G538" s="2" t="s">
        <v>12</v>
      </c>
      <c r="H538" s="2" t="s">
        <v>20</v>
      </c>
      <c r="I538" t="s">
        <v>17</v>
      </c>
      <c r="J538">
        <v>1</v>
      </c>
      <c r="K538" t="s">
        <v>15</v>
      </c>
      <c r="L538" s="2" t="s">
        <v>30</v>
      </c>
      <c r="M538" s="4">
        <v>44</v>
      </c>
      <c r="N538" s="4" t="str">
        <f>IF(Bike_Data[[#This Row],[Age]]&gt;=54,"Old",IF(Bike_Data[[#This Row],[Age]]&lt;30,"Young Adult","Middle Age"))</f>
        <v>Middle Age</v>
      </c>
      <c r="O538" s="5">
        <f t="shared" ca="1" si="8"/>
        <v>28673</v>
      </c>
      <c r="P538" s="2" t="s">
        <v>14</v>
      </c>
    </row>
    <row r="539" spans="1:16" x14ac:dyDescent="0.25">
      <c r="A539">
        <v>23378</v>
      </c>
      <c r="B539" s="2" t="s">
        <v>31</v>
      </c>
      <c r="C539" s="2" t="s">
        <v>34</v>
      </c>
      <c r="D539" s="4">
        <v>70000</v>
      </c>
      <c r="E53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39">
        <v>1</v>
      </c>
      <c r="G539" s="2" t="s">
        <v>18</v>
      </c>
      <c r="H539" s="2" t="s">
        <v>13</v>
      </c>
      <c r="I539" t="s">
        <v>14</v>
      </c>
      <c r="J539">
        <v>1</v>
      </c>
      <c r="K539" t="s">
        <v>21</v>
      </c>
      <c r="L539" s="2" t="s">
        <v>30</v>
      </c>
      <c r="M539" s="4">
        <v>44</v>
      </c>
      <c r="N539" s="4" t="str">
        <f>IF(Bike_Data[[#This Row],[Age]]&gt;=54,"Old",IF(Bike_Data[[#This Row],[Age]]&lt;30,"Young Adult","Middle Age"))</f>
        <v>Middle Age</v>
      </c>
      <c r="O539" s="5">
        <f t="shared" ca="1" si="8"/>
        <v>28633</v>
      </c>
      <c r="P539" s="2" t="s">
        <v>14</v>
      </c>
    </row>
    <row r="540" spans="1:16" x14ac:dyDescent="0.25">
      <c r="A540">
        <v>18391</v>
      </c>
      <c r="B540" s="2" t="s">
        <v>32</v>
      </c>
      <c r="C540" s="2" t="s">
        <v>33</v>
      </c>
      <c r="D540" s="4">
        <v>80000</v>
      </c>
      <c r="E54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0">
        <v>5</v>
      </c>
      <c r="G540" s="2" t="s">
        <v>18</v>
      </c>
      <c r="H540" s="2" t="s">
        <v>20</v>
      </c>
      <c r="I540" t="s">
        <v>14</v>
      </c>
      <c r="J540">
        <v>2</v>
      </c>
      <c r="K540" t="s">
        <v>22</v>
      </c>
      <c r="L540" s="2" t="s">
        <v>30</v>
      </c>
      <c r="M540" s="4">
        <v>44</v>
      </c>
      <c r="N540" s="4" t="str">
        <f>IF(Bike_Data[[#This Row],[Age]]&gt;=54,"Old",IF(Bike_Data[[#This Row],[Age]]&lt;30,"Young Adult","Middle Age"))</f>
        <v>Middle Age</v>
      </c>
      <c r="O540" s="5">
        <f t="shared" ca="1" si="8"/>
        <v>34995</v>
      </c>
      <c r="P540" s="2" t="s">
        <v>17</v>
      </c>
    </row>
    <row r="541" spans="1:16" x14ac:dyDescent="0.25">
      <c r="A541">
        <v>14633</v>
      </c>
      <c r="B541" s="2" t="s">
        <v>31</v>
      </c>
      <c r="C541" s="2" t="s">
        <v>34</v>
      </c>
      <c r="D541" s="4">
        <v>60000</v>
      </c>
      <c r="E54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1">
        <v>1</v>
      </c>
      <c r="G541" s="2" t="s">
        <v>18</v>
      </c>
      <c r="H541" s="2" t="s">
        <v>13</v>
      </c>
      <c r="I541" t="s">
        <v>14</v>
      </c>
      <c r="J541">
        <v>1</v>
      </c>
      <c r="K541" t="s">
        <v>21</v>
      </c>
      <c r="L541" s="2" t="s">
        <v>30</v>
      </c>
      <c r="M541" s="4">
        <v>44</v>
      </c>
      <c r="N541" s="4" t="str">
        <f>IF(Bike_Data[[#This Row],[Age]]&gt;=54,"Old",IF(Bike_Data[[#This Row],[Age]]&lt;30,"Young Adult","Middle Age"))</f>
        <v>Middle Age</v>
      </c>
      <c r="O541" s="5">
        <f t="shared" ca="1" si="8"/>
        <v>31700</v>
      </c>
      <c r="P541" s="2" t="s">
        <v>17</v>
      </c>
    </row>
    <row r="542" spans="1:16" x14ac:dyDescent="0.25">
      <c r="A542">
        <v>17858</v>
      </c>
      <c r="B542" s="2" t="s">
        <v>31</v>
      </c>
      <c r="C542" s="2" t="s">
        <v>34</v>
      </c>
      <c r="D542" s="4">
        <v>40000</v>
      </c>
      <c r="E54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42">
        <v>4</v>
      </c>
      <c r="G542" s="2" t="s">
        <v>26</v>
      </c>
      <c r="H542" s="2" t="s">
        <v>13</v>
      </c>
      <c r="I542" t="s">
        <v>14</v>
      </c>
      <c r="J542">
        <v>2</v>
      </c>
      <c r="K542" t="s">
        <v>21</v>
      </c>
      <c r="L542" s="2" t="s">
        <v>30</v>
      </c>
      <c r="M542" s="4">
        <v>44</v>
      </c>
      <c r="N542" s="4" t="str">
        <f>IF(Bike_Data[[#This Row],[Age]]&gt;=54,"Old",IF(Bike_Data[[#This Row],[Age]]&lt;30,"Young Adult","Middle Age"))</f>
        <v>Middle Age</v>
      </c>
      <c r="O542" s="5">
        <f t="shared" ca="1" si="8"/>
        <v>33364</v>
      </c>
      <c r="P542" s="2" t="s">
        <v>14</v>
      </c>
    </row>
    <row r="543" spans="1:16" x14ac:dyDescent="0.25">
      <c r="A543">
        <v>27643</v>
      </c>
      <c r="B543" s="2" t="s">
        <v>32</v>
      </c>
      <c r="C543" s="2" t="s">
        <v>34</v>
      </c>
      <c r="D543" s="4">
        <v>70000</v>
      </c>
      <c r="E54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3">
        <v>5</v>
      </c>
      <c r="G543" s="2" t="s">
        <v>18</v>
      </c>
      <c r="H543" s="2" t="s">
        <v>20</v>
      </c>
      <c r="I543" t="s">
        <v>14</v>
      </c>
      <c r="J543">
        <v>3</v>
      </c>
      <c r="K543" t="s">
        <v>21</v>
      </c>
      <c r="L543" s="2" t="s">
        <v>30</v>
      </c>
      <c r="M543" s="4">
        <v>44</v>
      </c>
      <c r="N543" s="4" t="str">
        <f>IF(Bike_Data[[#This Row],[Age]]&gt;=54,"Old",IF(Bike_Data[[#This Row],[Age]]&lt;30,"Young Adult","Middle Age"))</f>
        <v>Middle Age</v>
      </c>
      <c r="O543" s="5">
        <f t="shared" ca="1" si="8"/>
        <v>28803</v>
      </c>
      <c r="P543" s="2" t="s">
        <v>17</v>
      </c>
    </row>
    <row r="544" spans="1:16" x14ac:dyDescent="0.25">
      <c r="A544">
        <v>12964</v>
      </c>
      <c r="B544" s="2" t="s">
        <v>31</v>
      </c>
      <c r="C544" s="2" t="s">
        <v>34</v>
      </c>
      <c r="D544" s="4">
        <v>70000</v>
      </c>
      <c r="E54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4">
        <v>1</v>
      </c>
      <c r="G544" s="2" t="s">
        <v>18</v>
      </c>
      <c r="H544" s="2" t="s">
        <v>13</v>
      </c>
      <c r="I544" t="s">
        <v>14</v>
      </c>
      <c r="J544">
        <v>1</v>
      </c>
      <c r="K544" t="s">
        <v>15</v>
      </c>
      <c r="L544" s="2" t="s">
        <v>30</v>
      </c>
      <c r="M544" s="4">
        <v>44</v>
      </c>
      <c r="N544" s="4" t="str">
        <f>IF(Bike_Data[[#This Row],[Age]]&gt;=54,"Old",IF(Bike_Data[[#This Row],[Age]]&lt;30,"Young Adult","Middle Age"))</f>
        <v>Middle Age</v>
      </c>
      <c r="O544" s="5">
        <f t="shared" ca="1" si="8"/>
        <v>27030</v>
      </c>
      <c r="P544" s="2" t="s">
        <v>17</v>
      </c>
    </row>
    <row r="545" spans="1:16" x14ac:dyDescent="0.25">
      <c r="A545">
        <v>27637</v>
      </c>
      <c r="B545" s="2" t="s">
        <v>32</v>
      </c>
      <c r="C545" s="2" t="s">
        <v>33</v>
      </c>
      <c r="D545" s="4">
        <v>100000</v>
      </c>
      <c r="E54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5">
        <v>1</v>
      </c>
      <c r="G545" s="2" t="s">
        <v>18</v>
      </c>
      <c r="H545" s="2" t="s">
        <v>20</v>
      </c>
      <c r="I545" t="s">
        <v>17</v>
      </c>
      <c r="J545">
        <v>3</v>
      </c>
      <c r="K545" t="s">
        <v>25</v>
      </c>
      <c r="L545" s="2" t="s">
        <v>30</v>
      </c>
      <c r="M545" s="4">
        <v>44</v>
      </c>
      <c r="N545" s="4" t="str">
        <f>IF(Bike_Data[[#This Row],[Age]]&gt;=54,"Old",IF(Bike_Data[[#This Row],[Age]]&lt;30,"Young Adult","Middle Age"))</f>
        <v>Middle Age</v>
      </c>
      <c r="O545" s="5">
        <f t="shared" ca="1" si="8"/>
        <v>35634</v>
      </c>
      <c r="P545" s="2" t="s">
        <v>17</v>
      </c>
    </row>
    <row r="546" spans="1:16" x14ac:dyDescent="0.25">
      <c r="A546">
        <v>23376</v>
      </c>
      <c r="B546" s="2" t="s">
        <v>31</v>
      </c>
      <c r="C546" s="2" t="s">
        <v>34</v>
      </c>
      <c r="D546" s="4">
        <v>70000</v>
      </c>
      <c r="E54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6">
        <v>1</v>
      </c>
      <c r="G546" s="2" t="s">
        <v>12</v>
      </c>
      <c r="H546" s="2" t="s">
        <v>20</v>
      </c>
      <c r="I546" t="s">
        <v>14</v>
      </c>
      <c r="J546">
        <v>1</v>
      </c>
      <c r="K546" t="s">
        <v>21</v>
      </c>
      <c r="L546" s="2" t="s">
        <v>30</v>
      </c>
      <c r="M546" s="4">
        <v>44</v>
      </c>
      <c r="N546" s="4" t="str">
        <f>IF(Bike_Data[[#This Row],[Age]]&gt;=54,"Old",IF(Bike_Data[[#This Row],[Age]]&lt;30,"Young Adult","Middle Age"))</f>
        <v>Middle Age</v>
      </c>
      <c r="O546" s="5">
        <f t="shared" ca="1" si="8"/>
        <v>35530</v>
      </c>
      <c r="P546" s="2" t="s">
        <v>14</v>
      </c>
    </row>
    <row r="547" spans="1:16" x14ac:dyDescent="0.25">
      <c r="A547">
        <v>18390</v>
      </c>
      <c r="B547" s="2" t="s">
        <v>31</v>
      </c>
      <c r="C547" s="2" t="s">
        <v>34</v>
      </c>
      <c r="D547" s="4">
        <v>80000</v>
      </c>
      <c r="E54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7">
        <v>5</v>
      </c>
      <c r="G547" s="2" t="s">
        <v>18</v>
      </c>
      <c r="H547" s="2" t="s">
        <v>20</v>
      </c>
      <c r="I547" t="s">
        <v>14</v>
      </c>
      <c r="J547">
        <v>2</v>
      </c>
      <c r="K547" t="s">
        <v>15</v>
      </c>
      <c r="L547" s="2" t="s">
        <v>30</v>
      </c>
      <c r="M547" s="4">
        <v>44</v>
      </c>
      <c r="N547" s="4" t="str">
        <f>IF(Bike_Data[[#This Row],[Age]]&gt;=54,"Old",IF(Bike_Data[[#This Row],[Age]]&lt;30,"Young Adult","Middle Age"))</f>
        <v>Middle Age</v>
      </c>
      <c r="O547" s="5">
        <f t="shared" ca="1" si="8"/>
        <v>31802</v>
      </c>
      <c r="P547" s="2" t="s">
        <v>17</v>
      </c>
    </row>
    <row r="548" spans="1:16" x14ac:dyDescent="0.25">
      <c r="A548">
        <v>17546</v>
      </c>
      <c r="B548" s="2" t="s">
        <v>31</v>
      </c>
      <c r="C548" s="2" t="s">
        <v>33</v>
      </c>
      <c r="D548" s="4">
        <v>70000</v>
      </c>
      <c r="E54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48">
        <v>1</v>
      </c>
      <c r="G548" s="2" t="s">
        <v>18</v>
      </c>
      <c r="H548" s="2" t="s">
        <v>13</v>
      </c>
      <c r="I548" t="s">
        <v>14</v>
      </c>
      <c r="J548">
        <v>1</v>
      </c>
      <c r="K548" t="s">
        <v>15</v>
      </c>
      <c r="L548" s="2" t="s">
        <v>30</v>
      </c>
      <c r="M548" s="4">
        <v>44</v>
      </c>
      <c r="N548" s="4" t="str">
        <f>IF(Bike_Data[[#This Row],[Age]]&gt;=54,"Old",IF(Bike_Data[[#This Row],[Age]]&lt;30,"Young Adult","Middle Age"))</f>
        <v>Middle Age</v>
      </c>
      <c r="O548" s="5">
        <f t="shared" ca="1" si="8"/>
        <v>35536</v>
      </c>
      <c r="P548" s="2" t="s">
        <v>14</v>
      </c>
    </row>
    <row r="549" spans="1:16" x14ac:dyDescent="0.25">
      <c r="A549">
        <v>23027</v>
      </c>
      <c r="B549" s="2" t="s">
        <v>32</v>
      </c>
      <c r="C549" s="2" t="s">
        <v>34</v>
      </c>
      <c r="D549" s="4">
        <v>130000</v>
      </c>
      <c r="E54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49">
        <v>1</v>
      </c>
      <c r="G549" s="2" t="s">
        <v>12</v>
      </c>
      <c r="H549" s="2" t="s">
        <v>27</v>
      </c>
      <c r="I549" t="s">
        <v>17</v>
      </c>
      <c r="J549">
        <v>4</v>
      </c>
      <c r="K549" t="s">
        <v>15</v>
      </c>
      <c r="L549" s="2" t="s">
        <v>30</v>
      </c>
      <c r="M549" s="4">
        <v>44</v>
      </c>
      <c r="N549" s="4" t="str">
        <f>IF(Bike_Data[[#This Row],[Age]]&gt;=54,"Old",IF(Bike_Data[[#This Row],[Age]]&lt;30,"Young Adult","Middle Age"))</f>
        <v>Middle Age</v>
      </c>
      <c r="O549" s="5">
        <f t="shared" ca="1" si="8"/>
        <v>32551</v>
      </c>
      <c r="P549" s="2" t="s">
        <v>17</v>
      </c>
    </row>
    <row r="550" spans="1:16" x14ac:dyDescent="0.25">
      <c r="A550">
        <v>12957</v>
      </c>
      <c r="B550" s="2" t="s">
        <v>32</v>
      </c>
      <c r="C550" s="2" t="s">
        <v>33</v>
      </c>
      <c r="D550" s="4">
        <v>70000</v>
      </c>
      <c r="E55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50">
        <v>1</v>
      </c>
      <c r="G550" s="2" t="s">
        <v>12</v>
      </c>
      <c r="H550" s="2" t="s">
        <v>20</v>
      </c>
      <c r="I550" t="s">
        <v>17</v>
      </c>
      <c r="J550">
        <v>1</v>
      </c>
      <c r="K550" t="s">
        <v>15</v>
      </c>
      <c r="L550" s="2" t="s">
        <v>30</v>
      </c>
      <c r="M550" s="4">
        <v>44</v>
      </c>
      <c r="N550" s="4" t="str">
        <f>IF(Bike_Data[[#This Row],[Age]]&gt;=54,"Old",IF(Bike_Data[[#This Row],[Age]]&lt;30,"Young Adult","Middle Age"))</f>
        <v>Middle Age</v>
      </c>
      <c r="O550" s="5">
        <f t="shared" ca="1" si="8"/>
        <v>33802</v>
      </c>
      <c r="P550" s="2" t="s">
        <v>17</v>
      </c>
    </row>
    <row r="551" spans="1:16" x14ac:dyDescent="0.25">
      <c r="A551">
        <v>16122</v>
      </c>
      <c r="B551" s="2" t="s">
        <v>31</v>
      </c>
      <c r="C551" s="2" t="s">
        <v>34</v>
      </c>
      <c r="D551" s="4">
        <v>40000</v>
      </c>
      <c r="E55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51">
        <v>4</v>
      </c>
      <c r="G551" s="2" t="s">
        <v>26</v>
      </c>
      <c r="H551" s="2" t="s">
        <v>13</v>
      </c>
      <c r="I551" t="s">
        <v>14</v>
      </c>
      <c r="J551">
        <v>2</v>
      </c>
      <c r="K551" t="s">
        <v>15</v>
      </c>
      <c r="L551" s="2" t="s">
        <v>30</v>
      </c>
      <c r="M551" s="4">
        <v>44</v>
      </c>
      <c r="N551" s="4" t="str">
        <f>IF(Bike_Data[[#This Row],[Age]]&gt;=54,"Old",IF(Bike_Data[[#This Row],[Age]]&lt;30,"Young Adult","Middle Age"))</f>
        <v>Middle Age</v>
      </c>
      <c r="O551" s="5">
        <f t="shared" ca="1" si="8"/>
        <v>29135</v>
      </c>
      <c r="P551" s="2" t="s">
        <v>14</v>
      </c>
    </row>
    <row r="552" spans="1:16" x14ac:dyDescent="0.25">
      <c r="A552">
        <v>11292</v>
      </c>
      <c r="B552" s="2" t="s">
        <v>32</v>
      </c>
      <c r="C552" s="2" t="s">
        <v>34</v>
      </c>
      <c r="D552" s="4">
        <v>150000</v>
      </c>
      <c r="E55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52">
        <v>1</v>
      </c>
      <c r="G552" s="2" t="s">
        <v>18</v>
      </c>
      <c r="H552" s="2" t="s">
        <v>20</v>
      </c>
      <c r="I552" t="s">
        <v>17</v>
      </c>
      <c r="J552">
        <v>3</v>
      </c>
      <c r="K552" t="s">
        <v>15</v>
      </c>
      <c r="L552" s="2" t="s">
        <v>30</v>
      </c>
      <c r="M552" s="4">
        <v>44</v>
      </c>
      <c r="N552" s="4" t="str">
        <f>IF(Bike_Data[[#This Row],[Age]]&gt;=54,"Old",IF(Bike_Data[[#This Row],[Age]]&lt;30,"Young Adult","Middle Age"))</f>
        <v>Middle Age</v>
      </c>
      <c r="O552" s="5">
        <f t="shared" ca="1" si="8"/>
        <v>26057</v>
      </c>
      <c r="P552" s="2" t="s">
        <v>14</v>
      </c>
    </row>
    <row r="553" spans="1:16" x14ac:dyDescent="0.25">
      <c r="A553">
        <v>23542</v>
      </c>
      <c r="B553" s="2" t="s">
        <v>32</v>
      </c>
      <c r="C553" s="2" t="s">
        <v>34</v>
      </c>
      <c r="D553" s="4">
        <v>60000</v>
      </c>
      <c r="E55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53">
        <v>1</v>
      </c>
      <c r="G553" s="2" t="s">
        <v>18</v>
      </c>
      <c r="H553" s="2" t="s">
        <v>13</v>
      </c>
      <c r="I553" t="s">
        <v>17</v>
      </c>
      <c r="J553">
        <v>1</v>
      </c>
      <c r="K553" t="s">
        <v>15</v>
      </c>
      <c r="L553" s="2" t="s">
        <v>23</v>
      </c>
      <c r="M553" s="4">
        <v>45</v>
      </c>
      <c r="N553" s="4" t="str">
        <f>IF(Bike_Data[[#This Row],[Age]]&gt;=54,"Old",IF(Bike_Data[[#This Row],[Age]]&lt;30,"Young Adult","Middle Age"))</f>
        <v>Middle Age</v>
      </c>
      <c r="O553" s="5">
        <f t="shared" ca="1" si="8"/>
        <v>29270</v>
      </c>
      <c r="P553" s="2" t="s">
        <v>14</v>
      </c>
    </row>
    <row r="554" spans="1:16" x14ac:dyDescent="0.25">
      <c r="A554">
        <v>24185</v>
      </c>
      <c r="B554" s="2" t="s">
        <v>32</v>
      </c>
      <c r="C554" s="2" t="s">
        <v>33</v>
      </c>
      <c r="D554" s="4">
        <v>10000</v>
      </c>
      <c r="E55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54">
        <v>1</v>
      </c>
      <c r="G554" s="2" t="s">
        <v>26</v>
      </c>
      <c r="H554" s="2" t="s">
        <v>24</v>
      </c>
      <c r="I554" t="s">
        <v>17</v>
      </c>
      <c r="J554">
        <v>1</v>
      </c>
      <c r="K554" t="s">
        <v>25</v>
      </c>
      <c r="L554" s="2" t="s">
        <v>16</v>
      </c>
      <c r="M554" s="4">
        <v>45</v>
      </c>
      <c r="N554" s="4" t="str">
        <f>IF(Bike_Data[[#This Row],[Age]]&gt;=54,"Old",IF(Bike_Data[[#This Row],[Age]]&lt;30,"Young Adult","Middle Age"))</f>
        <v>Middle Age</v>
      </c>
      <c r="O554" s="5">
        <f t="shared" ca="1" si="8"/>
        <v>26301</v>
      </c>
      <c r="P554" s="2" t="s">
        <v>17</v>
      </c>
    </row>
    <row r="555" spans="1:16" x14ac:dyDescent="0.25">
      <c r="A555">
        <v>20828</v>
      </c>
      <c r="B555" s="2" t="s">
        <v>31</v>
      </c>
      <c r="C555" s="2" t="s">
        <v>33</v>
      </c>
      <c r="D555" s="4">
        <v>30000</v>
      </c>
      <c r="E5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55">
        <v>4</v>
      </c>
      <c r="G555" s="2" t="s">
        <v>29</v>
      </c>
      <c r="H555" s="2" t="s">
        <v>19</v>
      </c>
      <c r="I555" t="s">
        <v>14</v>
      </c>
      <c r="J555">
        <v>0</v>
      </c>
      <c r="K555" t="s">
        <v>15</v>
      </c>
      <c r="L555" s="2" t="s">
        <v>16</v>
      </c>
      <c r="M555" s="4">
        <v>45</v>
      </c>
      <c r="N555" s="4" t="str">
        <f>IF(Bike_Data[[#This Row],[Age]]&gt;=54,"Old",IF(Bike_Data[[#This Row],[Age]]&lt;30,"Young Adult","Middle Age"))</f>
        <v>Middle Age</v>
      </c>
      <c r="O555" s="5">
        <f t="shared" ca="1" si="8"/>
        <v>37565</v>
      </c>
      <c r="P555" s="2" t="s">
        <v>14</v>
      </c>
    </row>
    <row r="556" spans="1:16" x14ac:dyDescent="0.25">
      <c r="A556">
        <v>26139</v>
      </c>
      <c r="B556" s="2" t="s">
        <v>32</v>
      </c>
      <c r="C556" s="2" t="s">
        <v>34</v>
      </c>
      <c r="D556" s="4">
        <v>60000</v>
      </c>
      <c r="E55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56">
        <v>1</v>
      </c>
      <c r="G556" s="2" t="s">
        <v>18</v>
      </c>
      <c r="H556" s="2" t="s">
        <v>13</v>
      </c>
      <c r="I556" t="s">
        <v>14</v>
      </c>
      <c r="J556">
        <v>1</v>
      </c>
      <c r="K556" t="s">
        <v>22</v>
      </c>
      <c r="L556" s="2" t="s">
        <v>23</v>
      </c>
      <c r="M556" s="4">
        <v>45</v>
      </c>
      <c r="N556" s="4" t="str">
        <f>IF(Bike_Data[[#This Row],[Age]]&gt;=54,"Old",IF(Bike_Data[[#This Row],[Age]]&lt;30,"Young Adult","Middle Age"))</f>
        <v>Middle Age</v>
      </c>
      <c r="O556" s="5">
        <f t="shared" ca="1" si="8"/>
        <v>31966</v>
      </c>
      <c r="P556" s="2" t="s">
        <v>17</v>
      </c>
    </row>
    <row r="557" spans="1:16" x14ac:dyDescent="0.25">
      <c r="A557">
        <v>20962</v>
      </c>
      <c r="B557" s="2" t="s">
        <v>31</v>
      </c>
      <c r="C557" s="2" t="s">
        <v>33</v>
      </c>
      <c r="D557" s="4">
        <v>20000</v>
      </c>
      <c r="E55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57">
        <v>1</v>
      </c>
      <c r="G557" s="2" t="s">
        <v>29</v>
      </c>
      <c r="H557" s="2" t="s">
        <v>19</v>
      </c>
      <c r="I557" t="s">
        <v>14</v>
      </c>
      <c r="J557">
        <v>0</v>
      </c>
      <c r="K557" t="s">
        <v>15</v>
      </c>
      <c r="L557" s="2" t="s">
        <v>16</v>
      </c>
      <c r="M557" s="4">
        <v>45</v>
      </c>
      <c r="N557" s="4" t="str">
        <f>IF(Bike_Data[[#This Row],[Age]]&gt;=54,"Old",IF(Bike_Data[[#This Row],[Age]]&lt;30,"Young Adult","Middle Age"))</f>
        <v>Middle Age</v>
      </c>
      <c r="O557" s="5">
        <f t="shared" ca="1" si="8"/>
        <v>37508</v>
      </c>
      <c r="P557" s="2" t="s">
        <v>17</v>
      </c>
    </row>
    <row r="558" spans="1:16" x14ac:dyDescent="0.25">
      <c r="A558">
        <v>12591</v>
      </c>
      <c r="B558" s="2" t="s">
        <v>31</v>
      </c>
      <c r="C558" s="2" t="s">
        <v>33</v>
      </c>
      <c r="D558" s="4">
        <v>30000</v>
      </c>
      <c r="E55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58">
        <v>4</v>
      </c>
      <c r="G558" s="2" t="s">
        <v>29</v>
      </c>
      <c r="H558" s="2" t="s">
        <v>19</v>
      </c>
      <c r="I558" t="s">
        <v>14</v>
      </c>
      <c r="J558">
        <v>0</v>
      </c>
      <c r="K558" t="s">
        <v>15</v>
      </c>
      <c r="L558" s="2" t="s">
        <v>16</v>
      </c>
      <c r="M558" s="4">
        <v>45</v>
      </c>
      <c r="N558" s="4" t="str">
        <f>IF(Bike_Data[[#This Row],[Age]]&gt;=54,"Old",IF(Bike_Data[[#This Row],[Age]]&lt;30,"Young Adult","Middle Age"))</f>
        <v>Middle Age</v>
      </c>
      <c r="O558" s="5">
        <f t="shared" ca="1" si="8"/>
        <v>28469</v>
      </c>
      <c r="P558" s="2" t="s">
        <v>17</v>
      </c>
    </row>
    <row r="559" spans="1:16" x14ac:dyDescent="0.25">
      <c r="A559">
        <v>19626</v>
      </c>
      <c r="B559" s="2" t="s">
        <v>31</v>
      </c>
      <c r="C559" s="2" t="s">
        <v>34</v>
      </c>
      <c r="D559" s="4">
        <v>70000</v>
      </c>
      <c r="E55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59">
        <v>5</v>
      </c>
      <c r="G559" s="2" t="s">
        <v>18</v>
      </c>
      <c r="H559" s="2" t="s">
        <v>13</v>
      </c>
      <c r="I559" t="s">
        <v>14</v>
      </c>
      <c r="J559">
        <v>3</v>
      </c>
      <c r="K559" t="s">
        <v>22</v>
      </c>
      <c r="L559" s="2" t="s">
        <v>23</v>
      </c>
      <c r="M559" s="4">
        <v>45</v>
      </c>
      <c r="N559" s="4" t="str">
        <f>IF(Bike_Data[[#This Row],[Age]]&gt;=54,"Old",IF(Bike_Data[[#This Row],[Age]]&lt;30,"Young Adult","Middle Age"))</f>
        <v>Middle Age</v>
      </c>
      <c r="O559" s="5">
        <f t="shared" ca="1" si="8"/>
        <v>31599</v>
      </c>
      <c r="P559" s="2" t="s">
        <v>17</v>
      </c>
    </row>
    <row r="560" spans="1:16" x14ac:dyDescent="0.25">
      <c r="A560">
        <v>14312</v>
      </c>
      <c r="B560" s="2" t="s">
        <v>31</v>
      </c>
      <c r="C560" s="2" t="s">
        <v>33</v>
      </c>
      <c r="D560" s="4">
        <v>60000</v>
      </c>
      <c r="E56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60">
        <v>1</v>
      </c>
      <c r="G560" s="2" t="s">
        <v>18</v>
      </c>
      <c r="H560" s="2" t="s">
        <v>13</v>
      </c>
      <c r="I560" t="s">
        <v>14</v>
      </c>
      <c r="J560">
        <v>1</v>
      </c>
      <c r="K560" t="s">
        <v>22</v>
      </c>
      <c r="L560" s="2" t="s">
        <v>23</v>
      </c>
      <c r="M560" s="4">
        <v>45</v>
      </c>
      <c r="N560" s="4" t="str">
        <f>IF(Bike_Data[[#This Row],[Age]]&gt;=54,"Old",IF(Bike_Data[[#This Row],[Age]]&lt;30,"Young Adult","Middle Age"))</f>
        <v>Middle Age</v>
      </c>
      <c r="O560" s="5">
        <f t="shared" ca="1" si="8"/>
        <v>29601</v>
      </c>
      <c r="P560" s="2" t="s">
        <v>17</v>
      </c>
    </row>
    <row r="561" spans="1:16" x14ac:dyDescent="0.25">
      <c r="A561">
        <v>11386</v>
      </c>
      <c r="B561" s="2" t="s">
        <v>31</v>
      </c>
      <c r="C561" s="2" t="s">
        <v>33</v>
      </c>
      <c r="D561" s="4">
        <v>30000</v>
      </c>
      <c r="E56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61">
        <v>3</v>
      </c>
      <c r="G561" s="2" t="s">
        <v>12</v>
      </c>
      <c r="H561" s="2" t="s">
        <v>19</v>
      </c>
      <c r="I561" t="s">
        <v>14</v>
      </c>
      <c r="J561">
        <v>0</v>
      </c>
      <c r="K561" t="s">
        <v>15</v>
      </c>
      <c r="L561" s="2" t="s">
        <v>16</v>
      </c>
      <c r="M561" s="4">
        <v>45</v>
      </c>
      <c r="N561" s="4" t="str">
        <f>IF(Bike_Data[[#This Row],[Age]]&gt;=54,"Old",IF(Bike_Data[[#This Row],[Age]]&lt;30,"Young Adult","Middle Age"))</f>
        <v>Middle Age</v>
      </c>
      <c r="O561" s="5">
        <f t="shared" ca="1" si="8"/>
        <v>36213</v>
      </c>
      <c r="P561" s="2" t="s">
        <v>17</v>
      </c>
    </row>
    <row r="562" spans="1:16" x14ac:dyDescent="0.25">
      <c r="A562">
        <v>22936</v>
      </c>
      <c r="B562" s="2" t="s">
        <v>32</v>
      </c>
      <c r="C562" s="2" t="s">
        <v>33</v>
      </c>
      <c r="D562" s="4">
        <v>60000</v>
      </c>
      <c r="E56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62">
        <v>1</v>
      </c>
      <c r="G562" s="2" t="s">
        <v>18</v>
      </c>
      <c r="H562" s="2" t="s">
        <v>13</v>
      </c>
      <c r="I562" t="s">
        <v>17</v>
      </c>
      <c r="J562">
        <v>1</v>
      </c>
      <c r="K562" t="s">
        <v>15</v>
      </c>
      <c r="L562" s="2" t="s">
        <v>23</v>
      </c>
      <c r="M562" s="4">
        <v>45</v>
      </c>
      <c r="N562" s="4" t="str">
        <f>IF(Bike_Data[[#This Row],[Age]]&gt;=54,"Old",IF(Bike_Data[[#This Row],[Age]]&lt;30,"Young Adult","Middle Age"))</f>
        <v>Middle Age</v>
      </c>
      <c r="O562" s="5">
        <f t="shared" ca="1" si="8"/>
        <v>36681</v>
      </c>
      <c r="P562" s="2" t="s">
        <v>14</v>
      </c>
    </row>
    <row r="563" spans="1:16" x14ac:dyDescent="0.25">
      <c r="A563">
        <v>17310</v>
      </c>
      <c r="B563" s="2" t="s">
        <v>31</v>
      </c>
      <c r="C563" s="2" t="s">
        <v>34</v>
      </c>
      <c r="D563" s="4">
        <v>60000</v>
      </c>
      <c r="E56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63">
        <v>1</v>
      </c>
      <c r="G563" s="2" t="s">
        <v>18</v>
      </c>
      <c r="H563" s="2" t="s">
        <v>13</v>
      </c>
      <c r="I563" t="s">
        <v>14</v>
      </c>
      <c r="J563">
        <v>1</v>
      </c>
      <c r="K563" t="s">
        <v>15</v>
      </c>
      <c r="L563" s="2" t="s">
        <v>23</v>
      </c>
      <c r="M563" s="4">
        <v>45</v>
      </c>
      <c r="N563" s="4" t="str">
        <f>IF(Bike_Data[[#This Row],[Age]]&gt;=54,"Old",IF(Bike_Data[[#This Row],[Age]]&lt;30,"Young Adult","Middle Age"))</f>
        <v>Middle Age</v>
      </c>
      <c r="O563" s="5">
        <f t="shared" ca="1" si="8"/>
        <v>29288</v>
      </c>
      <c r="P563" s="2" t="s">
        <v>14</v>
      </c>
    </row>
    <row r="564" spans="1:16" x14ac:dyDescent="0.25">
      <c r="A564">
        <v>26765</v>
      </c>
      <c r="B564" s="2" t="s">
        <v>32</v>
      </c>
      <c r="C564" s="2" t="s">
        <v>33</v>
      </c>
      <c r="D564" s="4">
        <v>70000</v>
      </c>
      <c r="E5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64">
        <v>5</v>
      </c>
      <c r="G564" s="2" t="s">
        <v>18</v>
      </c>
      <c r="H564" s="2" t="s">
        <v>13</v>
      </c>
      <c r="I564" t="s">
        <v>14</v>
      </c>
      <c r="J564">
        <v>2</v>
      </c>
      <c r="K564" t="s">
        <v>22</v>
      </c>
      <c r="L564" s="2" t="s">
        <v>23</v>
      </c>
      <c r="M564" s="4">
        <v>45</v>
      </c>
      <c r="N564" s="4" t="str">
        <f>IF(Bike_Data[[#This Row],[Age]]&gt;=54,"Old",IF(Bike_Data[[#This Row],[Age]]&lt;30,"Young Adult","Middle Age"))</f>
        <v>Middle Age</v>
      </c>
      <c r="O564" s="5">
        <f t="shared" ca="1" si="8"/>
        <v>34248</v>
      </c>
      <c r="P564" s="2" t="s">
        <v>17</v>
      </c>
    </row>
    <row r="565" spans="1:16" x14ac:dyDescent="0.25">
      <c r="A565">
        <v>18052</v>
      </c>
      <c r="B565" s="2" t="s">
        <v>31</v>
      </c>
      <c r="C565" s="2" t="s">
        <v>33</v>
      </c>
      <c r="D565" s="4">
        <v>60000</v>
      </c>
      <c r="E56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65">
        <v>1</v>
      </c>
      <c r="G565" s="2" t="s">
        <v>18</v>
      </c>
      <c r="H565" s="2" t="s">
        <v>13</v>
      </c>
      <c r="I565" t="s">
        <v>14</v>
      </c>
      <c r="J565">
        <v>1</v>
      </c>
      <c r="K565" t="s">
        <v>15</v>
      </c>
      <c r="L565" s="2" t="s">
        <v>30</v>
      </c>
      <c r="M565" s="4">
        <v>45</v>
      </c>
      <c r="N565" s="4" t="str">
        <f>IF(Bike_Data[[#This Row],[Age]]&gt;=54,"Old",IF(Bike_Data[[#This Row],[Age]]&lt;30,"Young Adult","Middle Age"))</f>
        <v>Middle Age</v>
      </c>
      <c r="O565" s="5">
        <f t="shared" ca="1" si="8"/>
        <v>37006</v>
      </c>
      <c r="P565" s="2" t="s">
        <v>14</v>
      </c>
    </row>
    <row r="566" spans="1:16" x14ac:dyDescent="0.25">
      <c r="A566">
        <v>19399</v>
      </c>
      <c r="B566" s="2" t="s">
        <v>32</v>
      </c>
      <c r="C566" s="2" t="s">
        <v>34</v>
      </c>
      <c r="D566" s="4">
        <v>40000</v>
      </c>
      <c r="E5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66">
        <v>0</v>
      </c>
      <c r="G566" s="2" t="s">
        <v>12</v>
      </c>
      <c r="H566" s="2" t="s">
        <v>20</v>
      </c>
      <c r="I566" t="s">
        <v>17</v>
      </c>
      <c r="J566">
        <v>1</v>
      </c>
      <c r="K566" t="s">
        <v>21</v>
      </c>
      <c r="L566" s="2" t="s">
        <v>30</v>
      </c>
      <c r="M566" s="4">
        <v>45</v>
      </c>
      <c r="N566" s="4" t="str">
        <f>IF(Bike_Data[[#This Row],[Age]]&gt;=54,"Old",IF(Bike_Data[[#This Row],[Age]]&lt;30,"Young Adult","Middle Age"))</f>
        <v>Middle Age</v>
      </c>
      <c r="O566" s="5">
        <f t="shared" ca="1" si="8"/>
        <v>30828</v>
      </c>
      <c r="P566" s="2" t="s">
        <v>17</v>
      </c>
    </row>
    <row r="567" spans="1:16" x14ac:dyDescent="0.25">
      <c r="A567">
        <v>13453</v>
      </c>
      <c r="B567" s="2" t="s">
        <v>31</v>
      </c>
      <c r="C567" s="2" t="s">
        <v>33</v>
      </c>
      <c r="D567" s="4">
        <v>130000</v>
      </c>
      <c r="E56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67">
        <v>3</v>
      </c>
      <c r="G567" s="2" t="s">
        <v>12</v>
      </c>
      <c r="H567" s="2" t="s">
        <v>27</v>
      </c>
      <c r="I567" t="s">
        <v>14</v>
      </c>
      <c r="J567">
        <v>3</v>
      </c>
      <c r="K567" t="s">
        <v>15</v>
      </c>
      <c r="L567" s="2" t="s">
        <v>30</v>
      </c>
      <c r="M567" s="4">
        <v>45</v>
      </c>
      <c r="N567" s="4" t="str">
        <f>IF(Bike_Data[[#This Row],[Age]]&gt;=54,"Old",IF(Bike_Data[[#This Row],[Age]]&lt;30,"Young Adult","Middle Age"))</f>
        <v>Middle Age</v>
      </c>
      <c r="O567" s="5">
        <f t="shared" ca="1" si="8"/>
        <v>29983</v>
      </c>
      <c r="P567" s="2" t="s">
        <v>14</v>
      </c>
    </row>
    <row r="568" spans="1:16" x14ac:dyDescent="0.25">
      <c r="A568">
        <v>20343</v>
      </c>
      <c r="B568" s="2" t="s">
        <v>31</v>
      </c>
      <c r="C568" s="2" t="s">
        <v>33</v>
      </c>
      <c r="D568" s="4">
        <v>90000</v>
      </c>
      <c r="E56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68">
        <v>4</v>
      </c>
      <c r="G568" s="2" t="s">
        <v>18</v>
      </c>
      <c r="H568" s="2" t="s">
        <v>20</v>
      </c>
      <c r="I568" t="s">
        <v>14</v>
      </c>
      <c r="J568">
        <v>1</v>
      </c>
      <c r="K568" t="s">
        <v>25</v>
      </c>
      <c r="L568" s="2" t="s">
        <v>30</v>
      </c>
      <c r="M568" s="4">
        <v>45</v>
      </c>
      <c r="N568" s="4" t="str">
        <f>IF(Bike_Data[[#This Row],[Age]]&gt;=54,"Old",IF(Bike_Data[[#This Row],[Age]]&lt;30,"Young Adult","Middle Age"))</f>
        <v>Middle Age</v>
      </c>
      <c r="O568" s="5">
        <f t="shared" ca="1" si="8"/>
        <v>35395</v>
      </c>
      <c r="P568" s="2" t="s">
        <v>17</v>
      </c>
    </row>
    <row r="569" spans="1:16" x14ac:dyDescent="0.25">
      <c r="A569">
        <v>25184</v>
      </c>
      <c r="B569" s="2" t="s">
        <v>32</v>
      </c>
      <c r="C569" s="2" t="s">
        <v>34</v>
      </c>
      <c r="D569" s="4">
        <v>110000</v>
      </c>
      <c r="E56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69">
        <v>1</v>
      </c>
      <c r="G569" s="2" t="s">
        <v>18</v>
      </c>
      <c r="H569" s="2" t="s">
        <v>20</v>
      </c>
      <c r="I569" t="s">
        <v>14</v>
      </c>
      <c r="J569">
        <v>4</v>
      </c>
      <c r="K569" t="s">
        <v>22</v>
      </c>
      <c r="L569" s="2" t="s">
        <v>30</v>
      </c>
      <c r="M569" s="4">
        <v>45</v>
      </c>
      <c r="N569" s="4" t="str">
        <f>IF(Bike_Data[[#This Row],[Age]]&gt;=54,"Old",IF(Bike_Data[[#This Row],[Age]]&lt;30,"Young Adult","Middle Age"))</f>
        <v>Middle Age</v>
      </c>
      <c r="O569" s="5">
        <f t="shared" ca="1" si="8"/>
        <v>34267</v>
      </c>
      <c r="P569" s="2" t="s">
        <v>14</v>
      </c>
    </row>
    <row r="570" spans="1:16" x14ac:dyDescent="0.25">
      <c r="A570">
        <v>14469</v>
      </c>
      <c r="B570" s="2" t="s">
        <v>31</v>
      </c>
      <c r="C570" s="2" t="s">
        <v>33</v>
      </c>
      <c r="D570" s="4">
        <v>100000</v>
      </c>
      <c r="E57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70">
        <v>3</v>
      </c>
      <c r="G570" s="2" t="s">
        <v>18</v>
      </c>
      <c r="H570" s="2" t="s">
        <v>20</v>
      </c>
      <c r="I570" t="s">
        <v>14</v>
      </c>
      <c r="J570">
        <v>4</v>
      </c>
      <c r="K570" t="s">
        <v>25</v>
      </c>
      <c r="L570" s="2" t="s">
        <v>30</v>
      </c>
      <c r="M570" s="4">
        <v>45</v>
      </c>
      <c r="N570" s="4" t="str">
        <f>IF(Bike_Data[[#This Row],[Age]]&gt;=54,"Old",IF(Bike_Data[[#This Row],[Age]]&lt;30,"Young Adult","Middle Age"))</f>
        <v>Middle Age</v>
      </c>
      <c r="O570" s="5">
        <f t="shared" ca="1" si="8"/>
        <v>28679</v>
      </c>
      <c r="P570" s="2" t="s">
        <v>17</v>
      </c>
    </row>
    <row r="571" spans="1:16" x14ac:dyDescent="0.25">
      <c r="A571">
        <v>22088</v>
      </c>
      <c r="B571" s="2" t="s">
        <v>31</v>
      </c>
      <c r="C571" s="2" t="s">
        <v>33</v>
      </c>
      <c r="D571" s="4">
        <v>130000</v>
      </c>
      <c r="E57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71">
        <v>1</v>
      </c>
      <c r="G571" s="2" t="s">
        <v>12</v>
      </c>
      <c r="H571" s="2" t="s">
        <v>27</v>
      </c>
      <c r="I571" t="s">
        <v>14</v>
      </c>
      <c r="J571">
        <v>2</v>
      </c>
      <c r="K571" t="s">
        <v>15</v>
      </c>
      <c r="L571" s="2" t="s">
        <v>30</v>
      </c>
      <c r="M571" s="4">
        <v>45</v>
      </c>
      <c r="N571" s="4" t="str">
        <f>IF(Bike_Data[[#This Row],[Age]]&gt;=54,"Old",IF(Bike_Data[[#This Row],[Age]]&lt;30,"Young Adult","Middle Age"))</f>
        <v>Middle Age</v>
      </c>
      <c r="O571" s="5">
        <f t="shared" ca="1" si="8"/>
        <v>26716</v>
      </c>
      <c r="P571" s="2" t="s">
        <v>14</v>
      </c>
    </row>
    <row r="572" spans="1:16" x14ac:dyDescent="0.25">
      <c r="A572">
        <v>11287</v>
      </c>
      <c r="B572" s="2" t="s">
        <v>31</v>
      </c>
      <c r="C572" s="2" t="s">
        <v>34</v>
      </c>
      <c r="D572" s="4">
        <v>70000</v>
      </c>
      <c r="E5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72">
        <v>5</v>
      </c>
      <c r="G572" s="2" t="s">
        <v>18</v>
      </c>
      <c r="H572" s="2" t="s">
        <v>20</v>
      </c>
      <c r="I572" t="s">
        <v>17</v>
      </c>
      <c r="J572">
        <v>3</v>
      </c>
      <c r="K572" t="s">
        <v>22</v>
      </c>
      <c r="L572" s="2" t="s">
        <v>30</v>
      </c>
      <c r="M572" s="4">
        <v>45</v>
      </c>
      <c r="N572" s="4" t="str">
        <f>IF(Bike_Data[[#This Row],[Age]]&gt;=54,"Old",IF(Bike_Data[[#This Row],[Age]]&lt;30,"Young Adult","Middle Age"))</f>
        <v>Middle Age</v>
      </c>
      <c r="O572" s="5">
        <f t="shared" ca="1" si="8"/>
        <v>35045</v>
      </c>
      <c r="P572" s="2" t="s">
        <v>17</v>
      </c>
    </row>
    <row r="573" spans="1:16" x14ac:dyDescent="0.25">
      <c r="A573">
        <v>28269</v>
      </c>
      <c r="B573" s="2" t="s">
        <v>32</v>
      </c>
      <c r="C573" s="2" t="s">
        <v>33</v>
      </c>
      <c r="D573" s="4">
        <v>130000</v>
      </c>
      <c r="E57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73">
        <v>1</v>
      </c>
      <c r="G573" s="2" t="s">
        <v>12</v>
      </c>
      <c r="H573" s="2" t="s">
        <v>27</v>
      </c>
      <c r="I573" t="s">
        <v>17</v>
      </c>
      <c r="J573">
        <v>1</v>
      </c>
      <c r="K573" t="s">
        <v>21</v>
      </c>
      <c r="L573" s="2" t="s">
        <v>30</v>
      </c>
      <c r="M573" s="4">
        <v>45</v>
      </c>
      <c r="N573" s="4" t="str">
        <f>IF(Bike_Data[[#This Row],[Age]]&gt;=54,"Old",IF(Bike_Data[[#This Row],[Age]]&lt;30,"Young Adult","Middle Age"))</f>
        <v>Middle Age</v>
      </c>
      <c r="O573" s="5">
        <f t="shared" ca="1" si="8"/>
        <v>27011</v>
      </c>
      <c r="P573" s="2" t="s">
        <v>17</v>
      </c>
    </row>
    <row r="574" spans="1:16" x14ac:dyDescent="0.25">
      <c r="A574">
        <v>16867</v>
      </c>
      <c r="B574" s="2" t="s">
        <v>32</v>
      </c>
      <c r="C574" s="2" t="s">
        <v>33</v>
      </c>
      <c r="D574" s="4">
        <v>130000</v>
      </c>
      <c r="E57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74">
        <v>1</v>
      </c>
      <c r="G574" s="2" t="s">
        <v>12</v>
      </c>
      <c r="H574" s="2" t="s">
        <v>27</v>
      </c>
      <c r="I574" t="s">
        <v>17</v>
      </c>
      <c r="J574">
        <v>3</v>
      </c>
      <c r="K574" t="s">
        <v>15</v>
      </c>
      <c r="L574" s="2" t="s">
        <v>30</v>
      </c>
      <c r="M574" s="4">
        <v>45</v>
      </c>
      <c r="N574" s="4" t="str">
        <f>IF(Bike_Data[[#This Row],[Age]]&gt;=54,"Old",IF(Bike_Data[[#This Row],[Age]]&lt;30,"Young Adult","Middle Age"))</f>
        <v>Middle Age</v>
      </c>
      <c r="O574" s="5">
        <f t="shared" ca="1" si="8"/>
        <v>36026</v>
      </c>
      <c r="P574" s="2" t="s">
        <v>14</v>
      </c>
    </row>
    <row r="575" spans="1:16" x14ac:dyDescent="0.25">
      <c r="A575">
        <v>13296</v>
      </c>
      <c r="B575" s="2" t="s">
        <v>31</v>
      </c>
      <c r="C575" s="2" t="s">
        <v>34</v>
      </c>
      <c r="D575" s="4">
        <v>110000</v>
      </c>
      <c r="E57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75">
        <v>1</v>
      </c>
      <c r="G575" s="2" t="s">
        <v>12</v>
      </c>
      <c r="H575" s="2" t="s">
        <v>27</v>
      </c>
      <c r="I575" t="s">
        <v>14</v>
      </c>
      <c r="J575">
        <v>3</v>
      </c>
      <c r="K575" t="s">
        <v>22</v>
      </c>
      <c r="L575" s="2" t="s">
        <v>30</v>
      </c>
      <c r="M575" s="4">
        <v>45</v>
      </c>
      <c r="N575" s="4" t="str">
        <f>IF(Bike_Data[[#This Row],[Age]]&gt;=54,"Old",IF(Bike_Data[[#This Row],[Age]]&lt;30,"Young Adult","Middle Age"))</f>
        <v>Middle Age</v>
      </c>
      <c r="O575" s="5">
        <f t="shared" ca="1" si="8"/>
        <v>29305</v>
      </c>
      <c r="P575" s="2" t="s">
        <v>17</v>
      </c>
    </row>
    <row r="576" spans="1:16" x14ac:dyDescent="0.25">
      <c r="A576">
        <v>13313</v>
      </c>
      <c r="B576" s="2" t="s">
        <v>31</v>
      </c>
      <c r="C576" s="2" t="s">
        <v>33</v>
      </c>
      <c r="D576" s="4">
        <v>120000</v>
      </c>
      <c r="E57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76">
        <v>1</v>
      </c>
      <c r="G576" s="2" t="s">
        <v>26</v>
      </c>
      <c r="H576" s="2" t="s">
        <v>20</v>
      </c>
      <c r="I576" t="s">
        <v>17</v>
      </c>
      <c r="J576">
        <v>4</v>
      </c>
      <c r="K576" t="s">
        <v>21</v>
      </c>
      <c r="L576" s="2" t="s">
        <v>30</v>
      </c>
      <c r="M576" s="4">
        <v>45</v>
      </c>
      <c r="N576" s="4" t="str">
        <f>IF(Bike_Data[[#This Row],[Age]]&gt;=54,"Old",IF(Bike_Data[[#This Row],[Age]]&lt;30,"Young Adult","Middle Age"))</f>
        <v>Middle Age</v>
      </c>
      <c r="O576" s="5">
        <f t="shared" ca="1" si="8"/>
        <v>29181</v>
      </c>
      <c r="P576" s="2" t="s">
        <v>17</v>
      </c>
    </row>
    <row r="577" spans="1:16" x14ac:dyDescent="0.25">
      <c r="A577">
        <v>15555</v>
      </c>
      <c r="B577" s="2" t="s">
        <v>31</v>
      </c>
      <c r="C577" s="2" t="s">
        <v>33</v>
      </c>
      <c r="D577" s="4">
        <v>60000</v>
      </c>
      <c r="E57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77">
        <v>1</v>
      </c>
      <c r="G577" s="2" t="s">
        <v>18</v>
      </c>
      <c r="H577" s="2" t="s">
        <v>13</v>
      </c>
      <c r="I577" t="s">
        <v>14</v>
      </c>
      <c r="J577">
        <v>1</v>
      </c>
      <c r="K577" t="s">
        <v>21</v>
      </c>
      <c r="L577" s="2" t="s">
        <v>30</v>
      </c>
      <c r="M577" s="4">
        <v>45</v>
      </c>
      <c r="N577" s="4" t="str">
        <f>IF(Bike_Data[[#This Row],[Age]]&gt;=54,"Old",IF(Bike_Data[[#This Row],[Age]]&lt;30,"Young Adult","Middle Age"))</f>
        <v>Middle Age</v>
      </c>
      <c r="O577" s="5">
        <f t="shared" ca="1" si="8"/>
        <v>32018</v>
      </c>
      <c r="P577" s="2" t="s">
        <v>14</v>
      </c>
    </row>
    <row r="578" spans="1:16" x14ac:dyDescent="0.25">
      <c r="A578">
        <v>24416</v>
      </c>
      <c r="B578" s="2" t="s">
        <v>31</v>
      </c>
      <c r="C578" s="2" t="s">
        <v>34</v>
      </c>
      <c r="D578" s="4">
        <v>90000</v>
      </c>
      <c r="E57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78">
        <v>4</v>
      </c>
      <c r="G578" s="2" t="s">
        <v>26</v>
      </c>
      <c r="H578" s="2" t="s">
        <v>20</v>
      </c>
      <c r="I578" t="s">
        <v>14</v>
      </c>
      <c r="J578">
        <v>2</v>
      </c>
      <c r="K578" t="s">
        <v>25</v>
      </c>
      <c r="L578" s="2" t="s">
        <v>30</v>
      </c>
      <c r="M578" s="4">
        <v>45</v>
      </c>
      <c r="N578" s="4" t="str">
        <f>IF(Bike_Data[[#This Row],[Age]]&gt;=54,"Old",IF(Bike_Data[[#This Row],[Age]]&lt;30,"Young Adult","Middle Age"))</f>
        <v>Middle Age</v>
      </c>
      <c r="O578" s="5">
        <f t="shared" ca="1" si="8"/>
        <v>35319</v>
      </c>
      <c r="P578" s="2" t="s">
        <v>17</v>
      </c>
    </row>
    <row r="579" spans="1:16" x14ac:dyDescent="0.25">
      <c r="A579">
        <v>18050</v>
      </c>
      <c r="B579" s="2" t="s">
        <v>31</v>
      </c>
      <c r="C579" s="2" t="s">
        <v>33</v>
      </c>
      <c r="D579" s="4">
        <v>60000</v>
      </c>
      <c r="E57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79">
        <v>1</v>
      </c>
      <c r="G579" s="2" t="s">
        <v>18</v>
      </c>
      <c r="H579" s="2" t="s">
        <v>13</v>
      </c>
      <c r="I579" t="s">
        <v>14</v>
      </c>
      <c r="J579">
        <v>1</v>
      </c>
      <c r="K579" t="s">
        <v>15</v>
      </c>
      <c r="L579" s="2" t="s">
        <v>30</v>
      </c>
      <c r="M579" s="4">
        <v>45</v>
      </c>
      <c r="N579" s="4" t="str">
        <f>IF(Bike_Data[[#This Row],[Age]]&gt;=54,"Old",IF(Bike_Data[[#This Row],[Age]]&lt;30,"Young Adult","Middle Age"))</f>
        <v>Middle Age</v>
      </c>
      <c r="O579" s="5">
        <f t="shared" ref="O579:O642" ca="1" si="9">RANDBETWEEN(DATE(1971,1,1), DATE(2003,12,31))</f>
        <v>36205</v>
      </c>
      <c r="P579" s="2" t="s">
        <v>14</v>
      </c>
    </row>
    <row r="580" spans="1:16" x14ac:dyDescent="0.25">
      <c r="A580">
        <v>11303</v>
      </c>
      <c r="B580" s="2" t="s">
        <v>32</v>
      </c>
      <c r="C580" s="2" t="s">
        <v>33</v>
      </c>
      <c r="D580" s="4">
        <v>90000</v>
      </c>
      <c r="E58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0">
        <v>4</v>
      </c>
      <c r="G580" s="2" t="s">
        <v>26</v>
      </c>
      <c r="H580" s="2" t="s">
        <v>20</v>
      </c>
      <c r="I580" t="s">
        <v>17</v>
      </c>
      <c r="J580">
        <v>3</v>
      </c>
      <c r="K580" t="s">
        <v>25</v>
      </c>
      <c r="L580" s="2" t="s">
        <v>30</v>
      </c>
      <c r="M580" s="4">
        <v>45</v>
      </c>
      <c r="N580" s="4" t="str">
        <f>IF(Bike_Data[[#This Row],[Age]]&gt;=54,"Old",IF(Bike_Data[[#This Row],[Age]]&lt;30,"Young Adult","Middle Age"))</f>
        <v>Middle Age</v>
      </c>
      <c r="O580" s="5">
        <f t="shared" ca="1" si="9"/>
        <v>27719</v>
      </c>
      <c r="P580" s="2" t="s">
        <v>14</v>
      </c>
    </row>
    <row r="581" spans="1:16" x14ac:dyDescent="0.25">
      <c r="A581">
        <v>20196</v>
      </c>
      <c r="B581" s="2" t="s">
        <v>31</v>
      </c>
      <c r="C581" s="2" t="s">
        <v>34</v>
      </c>
      <c r="D581" s="4">
        <v>60000</v>
      </c>
      <c r="E58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1">
        <v>1</v>
      </c>
      <c r="G581" s="2" t="s">
        <v>18</v>
      </c>
      <c r="H581" s="2" t="s">
        <v>13</v>
      </c>
      <c r="I581" t="s">
        <v>14</v>
      </c>
      <c r="J581">
        <v>1</v>
      </c>
      <c r="K581" t="s">
        <v>21</v>
      </c>
      <c r="L581" s="2" t="s">
        <v>30</v>
      </c>
      <c r="M581" s="4">
        <v>45</v>
      </c>
      <c r="N581" s="4" t="str">
        <f>IF(Bike_Data[[#This Row],[Age]]&gt;=54,"Old",IF(Bike_Data[[#This Row],[Age]]&lt;30,"Young Adult","Middle Age"))</f>
        <v>Middle Age</v>
      </c>
      <c r="O581" s="5">
        <f t="shared" ca="1" si="9"/>
        <v>33678</v>
      </c>
      <c r="P581" s="2" t="s">
        <v>14</v>
      </c>
    </row>
    <row r="582" spans="1:16" x14ac:dyDescent="0.25">
      <c r="A582">
        <v>23491</v>
      </c>
      <c r="B582" s="2" t="s">
        <v>32</v>
      </c>
      <c r="C582" s="2" t="s">
        <v>34</v>
      </c>
      <c r="D582" s="4">
        <v>100000</v>
      </c>
      <c r="E58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2">
        <v>0</v>
      </c>
      <c r="G582" s="2" t="s">
        <v>18</v>
      </c>
      <c r="H582" s="2" t="s">
        <v>20</v>
      </c>
      <c r="I582" t="s">
        <v>17</v>
      </c>
      <c r="J582">
        <v>4</v>
      </c>
      <c r="K582" t="s">
        <v>25</v>
      </c>
      <c r="L582" s="2" t="s">
        <v>30</v>
      </c>
      <c r="M582" s="4">
        <v>45</v>
      </c>
      <c r="N582" s="4" t="str">
        <f>IF(Bike_Data[[#This Row],[Age]]&gt;=54,"Old",IF(Bike_Data[[#This Row],[Age]]&lt;30,"Young Adult","Middle Age"))</f>
        <v>Middle Age</v>
      </c>
      <c r="O582" s="5">
        <f t="shared" ca="1" si="9"/>
        <v>27307</v>
      </c>
      <c r="P582" s="2" t="s">
        <v>17</v>
      </c>
    </row>
    <row r="583" spans="1:16" x14ac:dyDescent="0.25">
      <c r="A583">
        <v>17450</v>
      </c>
      <c r="B583" s="2" t="s">
        <v>31</v>
      </c>
      <c r="C583" s="2" t="s">
        <v>34</v>
      </c>
      <c r="D583" s="4">
        <v>80000</v>
      </c>
      <c r="E5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3">
        <v>5</v>
      </c>
      <c r="G583" s="2" t="s">
        <v>18</v>
      </c>
      <c r="H583" s="2" t="s">
        <v>20</v>
      </c>
      <c r="I583" t="s">
        <v>14</v>
      </c>
      <c r="J583">
        <v>3</v>
      </c>
      <c r="K583" t="s">
        <v>22</v>
      </c>
      <c r="L583" s="2" t="s">
        <v>30</v>
      </c>
      <c r="M583" s="4">
        <v>45</v>
      </c>
      <c r="N583" s="4" t="str">
        <f>IF(Bike_Data[[#This Row],[Age]]&gt;=54,"Old",IF(Bike_Data[[#This Row],[Age]]&lt;30,"Young Adult","Middle Age"))</f>
        <v>Middle Age</v>
      </c>
      <c r="O583" s="5">
        <f t="shared" ca="1" si="9"/>
        <v>36022</v>
      </c>
      <c r="P583" s="2" t="s">
        <v>17</v>
      </c>
    </row>
    <row r="584" spans="1:16" x14ac:dyDescent="0.25">
      <c r="A584">
        <v>24466</v>
      </c>
      <c r="B584" s="2" t="s">
        <v>31</v>
      </c>
      <c r="C584" s="2" t="s">
        <v>33</v>
      </c>
      <c r="D584" s="4">
        <v>60000</v>
      </c>
      <c r="E5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4">
        <v>1</v>
      </c>
      <c r="G584" s="2" t="s">
        <v>18</v>
      </c>
      <c r="H584" s="2" t="s">
        <v>13</v>
      </c>
      <c r="I584" t="s">
        <v>14</v>
      </c>
      <c r="J584">
        <v>1</v>
      </c>
      <c r="K584" t="s">
        <v>22</v>
      </c>
      <c r="L584" s="2" t="s">
        <v>23</v>
      </c>
      <c r="M584" s="4">
        <v>46</v>
      </c>
      <c r="N584" s="4" t="str">
        <f>IF(Bike_Data[[#This Row],[Age]]&gt;=54,"Old",IF(Bike_Data[[#This Row],[Age]]&lt;30,"Young Adult","Middle Age"))</f>
        <v>Middle Age</v>
      </c>
      <c r="O584" s="5">
        <f t="shared" ca="1" si="9"/>
        <v>30497</v>
      </c>
      <c r="P584" s="2" t="s">
        <v>14</v>
      </c>
    </row>
    <row r="585" spans="1:16" x14ac:dyDescent="0.25">
      <c r="A585">
        <v>21006</v>
      </c>
      <c r="B585" s="2" t="s">
        <v>32</v>
      </c>
      <c r="C585" s="2" t="s">
        <v>33</v>
      </c>
      <c r="D585" s="4">
        <v>30000</v>
      </c>
      <c r="E58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85">
        <v>1</v>
      </c>
      <c r="G585" s="2" t="s">
        <v>18</v>
      </c>
      <c r="H585" s="2" t="s">
        <v>24</v>
      </c>
      <c r="I585" t="s">
        <v>17</v>
      </c>
      <c r="J585">
        <v>0</v>
      </c>
      <c r="K585" t="s">
        <v>15</v>
      </c>
      <c r="L585" s="2" t="s">
        <v>16</v>
      </c>
      <c r="M585" s="4">
        <v>46</v>
      </c>
      <c r="N585" s="4" t="str">
        <f>IF(Bike_Data[[#This Row],[Age]]&gt;=54,"Old",IF(Bike_Data[[#This Row],[Age]]&lt;30,"Young Adult","Middle Age"))</f>
        <v>Middle Age</v>
      </c>
      <c r="O585" s="5">
        <f t="shared" ca="1" si="9"/>
        <v>27566</v>
      </c>
      <c r="P585" s="2" t="s">
        <v>14</v>
      </c>
    </row>
    <row r="586" spans="1:16" x14ac:dyDescent="0.25">
      <c r="A586">
        <v>29298</v>
      </c>
      <c r="B586" s="2" t="s">
        <v>32</v>
      </c>
      <c r="C586" s="2" t="s">
        <v>33</v>
      </c>
      <c r="D586" s="4">
        <v>60000</v>
      </c>
      <c r="E58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6">
        <v>1</v>
      </c>
      <c r="G586" s="2" t="s">
        <v>18</v>
      </c>
      <c r="H586" s="2" t="s">
        <v>13</v>
      </c>
      <c r="I586" t="s">
        <v>14</v>
      </c>
      <c r="J586">
        <v>1</v>
      </c>
      <c r="K586" t="s">
        <v>22</v>
      </c>
      <c r="L586" s="2" t="s">
        <v>23</v>
      </c>
      <c r="M586" s="4">
        <v>46</v>
      </c>
      <c r="N586" s="4" t="str">
        <f>IF(Bike_Data[[#This Row],[Age]]&gt;=54,"Old",IF(Bike_Data[[#This Row],[Age]]&lt;30,"Young Adult","Middle Age"))</f>
        <v>Middle Age</v>
      </c>
      <c r="O586" s="5">
        <f t="shared" ca="1" si="9"/>
        <v>36265</v>
      </c>
      <c r="P586" s="2" t="s">
        <v>14</v>
      </c>
    </row>
    <row r="587" spans="1:16" x14ac:dyDescent="0.25">
      <c r="A587">
        <v>15657</v>
      </c>
      <c r="B587" s="2" t="s">
        <v>31</v>
      </c>
      <c r="C587" s="2" t="s">
        <v>34</v>
      </c>
      <c r="D587" s="4">
        <v>30000</v>
      </c>
      <c r="E58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87">
        <v>3</v>
      </c>
      <c r="G587" s="2" t="s">
        <v>29</v>
      </c>
      <c r="H587" s="2" t="s">
        <v>19</v>
      </c>
      <c r="I587" t="s">
        <v>14</v>
      </c>
      <c r="J587">
        <v>0</v>
      </c>
      <c r="K587" t="s">
        <v>15</v>
      </c>
      <c r="L587" s="2" t="s">
        <v>16</v>
      </c>
      <c r="M587" s="4">
        <v>46</v>
      </c>
      <c r="N587" s="4" t="str">
        <f>IF(Bike_Data[[#This Row],[Age]]&gt;=54,"Old",IF(Bike_Data[[#This Row],[Age]]&lt;30,"Young Adult","Middle Age"))</f>
        <v>Middle Age</v>
      </c>
      <c r="O587" s="5">
        <f t="shared" ca="1" si="9"/>
        <v>31972</v>
      </c>
      <c r="P587" s="2" t="s">
        <v>14</v>
      </c>
    </row>
    <row r="588" spans="1:16" x14ac:dyDescent="0.25">
      <c r="A588">
        <v>22006</v>
      </c>
      <c r="B588" s="2" t="s">
        <v>31</v>
      </c>
      <c r="C588" s="2" t="s">
        <v>34</v>
      </c>
      <c r="D588" s="4">
        <v>70000</v>
      </c>
      <c r="E58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8">
        <v>5</v>
      </c>
      <c r="G588" s="2" t="s">
        <v>18</v>
      </c>
      <c r="H588" s="2" t="s">
        <v>13</v>
      </c>
      <c r="I588" t="s">
        <v>14</v>
      </c>
      <c r="J588">
        <v>3</v>
      </c>
      <c r="K588" t="s">
        <v>22</v>
      </c>
      <c r="L588" s="2" t="s">
        <v>23</v>
      </c>
      <c r="M588" s="4">
        <v>46</v>
      </c>
      <c r="N588" s="4" t="str">
        <f>IF(Bike_Data[[#This Row],[Age]]&gt;=54,"Old",IF(Bike_Data[[#This Row],[Age]]&lt;30,"Young Adult","Middle Age"))</f>
        <v>Middle Age</v>
      </c>
      <c r="O588" s="5">
        <f t="shared" ca="1" si="9"/>
        <v>31734</v>
      </c>
      <c r="P588" s="2" t="s">
        <v>17</v>
      </c>
    </row>
    <row r="589" spans="1:16" x14ac:dyDescent="0.25">
      <c r="A589">
        <v>22005</v>
      </c>
      <c r="B589" s="2" t="s">
        <v>31</v>
      </c>
      <c r="C589" s="2" t="s">
        <v>33</v>
      </c>
      <c r="D589" s="4">
        <v>70000</v>
      </c>
      <c r="E58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89">
        <v>5</v>
      </c>
      <c r="G589" s="2" t="s">
        <v>18</v>
      </c>
      <c r="H589" s="2" t="s">
        <v>13</v>
      </c>
      <c r="I589" t="s">
        <v>17</v>
      </c>
      <c r="J589">
        <v>3</v>
      </c>
      <c r="K589" t="s">
        <v>22</v>
      </c>
      <c r="L589" s="2" t="s">
        <v>23</v>
      </c>
      <c r="M589" s="4">
        <v>46</v>
      </c>
      <c r="N589" s="4" t="str">
        <f>IF(Bike_Data[[#This Row],[Age]]&gt;=54,"Old",IF(Bike_Data[[#This Row],[Age]]&lt;30,"Young Adult","Middle Age"))</f>
        <v>Middle Age</v>
      </c>
      <c r="O589" s="5">
        <f t="shared" ca="1" si="9"/>
        <v>28469</v>
      </c>
      <c r="P589" s="2" t="s">
        <v>17</v>
      </c>
    </row>
    <row r="590" spans="1:16" x14ac:dyDescent="0.25">
      <c r="A590">
        <v>24187</v>
      </c>
      <c r="B590" s="2" t="s">
        <v>32</v>
      </c>
      <c r="C590" s="2" t="s">
        <v>33</v>
      </c>
      <c r="D590" s="4">
        <v>30000</v>
      </c>
      <c r="E5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90">
        <v>3</v>
      </c>
      <c r="G590" s="2" t="s">
        <v>29</v>
      </c>
      <c r="H590" s="2" t="s">
        <v>19</v>
      </c>
      <c r="I590" t="s">
        <v>17</v>
      </c>
      <c r="J590">
        <v>0</v>
      </c>
      <c r="K590" t="s">
        <v>15</v>
      </c>
      <c r="L590" s="2" t="s">
        <v>16</v>
      </c>
      <c r="M590" s="4">
        <v>46</v>
      </c>
      <c r="N590" s="4" t="str">
        <f>IF(Bike_Data[[#This Row],[Age]]&gt;=54,"Old",IF(Bike_Data[[#This Row],[Age]]&lt;30,"Young Adult","Middle Age"))</f>
        <v>Middle Age</v>
      </c>
      <c r="O590" s="5">
        <f t="shared" ca="1" si="9"/>
        <v>32939</v>
      </c>
      <c r="P590" s="2" t="s">
        <v>14</v>
      </c>
    </row>
    <row r="591" spans="1:16" x14ac:dyDescent="0.25">
      <c r="A591">
        <v>28319</v>
      </c>
      <c r="B591" s="2" t="s">
        <v>32</v>
      </c>
      <c r="C591" s="2" t="s">
        <v>33</v>
      </c>
      <c r="D591" s="4">
        <v>60000</v>
      </c>
      <c r="E59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91">
        <v>1</v>
      </c>
      <c r="G591" s="2" t="s">
        <v>18</v>
      </c>
      <c r="H591" s="2" t="s">
        <v>13</v>
      </c>
      <c r="I591" t="s">
        <v>17</v>
      </c>
      <c r="J591">
        <v>1</v>
      </c>
      <c r="K591" t="s">
        <v>15</v>
      </c>
      <c r="L591" s="2" t="s">
        <v>23</v>
      </c>
      <c r="M591" s="4">
        <v>46</v>
      </c>
      <c r="N591" s="4" t="str">
        <f>IF(Bike_Data[[#This Row],[Age]]&gt;=54,"Old",IF(Bike_Data[[#This Row],[Age]]&lt;30,"Young Adult","Middle Age"))</f>
        <v>Middle Age</v>
      </c>
      <c r="O591" s="5">
        <f t="shared" ca="1" si="9"/>
        <v>29050</v>
      </c>
      <c r="P591" s="2" t="s">
        <v>14</v>
      </c>
    </row>
    <row r="592" spans="1:16" x14ac:dyDescent="0.25">
      <c r="A592">
        <v>11378</v>
      </c>
      <c r="B592" s="2" t="s">
        <v>32</v>
      </c>
      <c r="C592" s="2" t="s">
        <v>33</v>
      </c>
      <c r="D592" s="4">
        <v>10000</v>
      </c>
      <c r="E5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92">
        <v>1</v>
      </c>
      <c r="G592" s="2" t="s">
        <v>26</v>
      </c>
      <c r="H592" s="2" t="s">
        <v>24</v>
      </c>
      <c r="I592" t="s">
        <v>17</v>
      </c>
      <c r="J592">
        <v>1</v>
      </c>
      <c r="K592" t="s">
        <v>21</v>
      </c>
      <c r="L592" s="2" t="s">
        <v>16</v>
      </c>
      <c r="M592" s="4">
        <v>46</v>
      </c>
      <c r="N592" s="4" t="str">
        <f>IF(Bike_Data[[#This Row],[Age]]&gt;=54,"Old",IF(Bike_Data[[#This Row],[Age]]&lt;30,"Young Adult","Middle Age"))</f>
        <v>Middle Age</v>
      </c>
      <c r="O592" s="5">
        <f t="shared" ca="1" si="9"/>
        <v>32793</v>
      </c>
      <c r="P592" s="2" t="s">
        <v>14</v>
      </c>
    </row>
    <row r="593" spans="1:16" x14ac:dyDescent="0.25">
      <c r="A593">
        <v>21207</v>
      </c>
      <c r="B593" s="2" t="s">
        <v>31</v>
      </c>
      <c r="C593" s="2" t="s">
        <v>34</v>
      </c>
      <c r="D593" s="4">
        <v>60000</v>
      </c>
      <c r="E59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93">
        <v>1</v>
      </c>
      <c r="G593" s="2" t="s">
        <v>18</v>
      </c>
      <c r="H593" s="2" t="s">
        <v>13</v>
      </c>
      <c r="I593" t="s">
        <v>14</v>
      </c>
      <c r="J593">
        <v>1</v>
      </c>
      <c r="K593" t="s">
        <v>22</v>
      </c>
      <c r="L593" s="2" t="s">
        <v>23</v>
      </c>
      <c r="M593" s="4">
        <v>46</v>
      </c>
      <c r="N593" s="4" t="str">
        <f>IF(Bike_Data[[#This Row],[Age]]&gt;=54,"Old",IF(Bike_Data[[#This Row],[Age]]&lt;30,"Young Adult","Middle Age"))</f>
        <v>Middle Age</v>
      </c>
      <c r="O593" s="5">
        <f t="shared" ca="1" si="9"/>
        <v>30395</v>
      </c>
      <c r="P593" s="2" t="s">
        <v>17</v>
      </c>
    </row>
    <row r="594" spans="1:16" x14ac:dyDescent="0.25">
      <c r="A594">
        <v>17324</v>
      </c>
      <c r="B594" s="2" t="s">
        <v>31</v>
      </c>
      <c r="C594" s="2" t="s">
        <v>33</v>
      </c>
      <c r="D594" s="4">
        <v>100000</v>
      </c>
      <c r="E5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94">
        <v>4</v>
      </c>
      <c r="G594" s="2" t="s">
        <v>12</v>
      </c>
      <c r="H594" s="2" t="s">
        <v>20</v>
      </c>
      <c r="I594" t="s">
        <v>14</v>
      </c>
      <c r="J594">
        <v>1</v>
      </c>
      <c r="K594" t="s">
        <v>37</v>
      </c>
      <c r="L594" s="2" t="s">
        <v>23</v>
      </c>
      <c r="M594" s="4">
        <v>46</v>
      </c>
      <c r="N594" s="4" t="str">
        <f>IF(Bike_Data[[#This Row],[Age]]&gt;=54,"Old",IF(Bike_Data[[#This Row],[Age]]&lt;30,"Young Adult","Middle Age"))</f>
        <v>Middle Age</v>
      </c>
      <c r="O594" s="5">
        <f t="shared" ca="1" si="9"/>
        <v>33623</v>
      </c>
      <c r="P594" s="2" t="s">
        <v>17</v>
      </c>
    </row>
    <row r="595" spans="1:16" x14ac:dyDescent="0.25">
      <c r="A595">
        <v>20171</v>
      </c>
      <c r="B595" s="2" t="s">
        <v>31</v>
      </c>
      <c r="C595" s="2" t="s">
        <v>33</v>
      </c>
      <c r="D595" s="4">
        <v>20000</v>
      </c>
      <c r="E5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95">
        <v>2</v>
      </c>
      <c r="G595" s="2" t="s">
        <v>18</v>
      </c>
      <c r="H595" s="2" t="s">
        <v>24</v>
      </c>
      <c r="I595" t="s">
        <v>14</v>
      </c>
      <c r="J595">
        <v>1</v>
      </c>
      <c r="K595" t="s">
        <v>15</v>
      </c>
      <c r="L595" s="2" t="s">
        <v>16</v>
      </c>
      <c r="M595" s="4">
        <v>46</v>
      </c>
      <c r="N595" s="4" t="str">
        <f>IF(Bike_Data[[#This Row],[Age]]&gt;=54,"Old",IF(Bike_Data[[#This Row],[Age]]&lt;30,"Young Adult","Middle Age"))</f>
        <v>Middle Age</v>
      </c>
      <c r="O595" s="5">
        <f t="shared" ca="1" si="9"/>
        <v>26918</v>
      </c>
      <c r="P595" s="2" t="s">
        <v>14</v>
      </c>
    </row>
    <row r="596" spans="1:16" x14ac:dyDescent="0.25">
      <c r="A596">
        <v>11383</v>
      </c>
      <c r="B596" s="2" t="s">
        <v>31</v>
      </c>
      <c r="C596" s="2" t="s">
        <v>33</v>
      </c>
      <c r="D596" s="4">
        <v>30000</v>
      </c>
      <c r="E5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96">
        <v>3</v>
      </c>
      <c r="G596" s="2" t="s">
        <v>29</v>
      </c>
      <c r="H596" s="2" t="s">
        <v>19</v>
      </c>
      <c r="I596" t="s">
        <v>14</v>
      </c>
      <c r="J596">
        <v>0</v>
      </c>
      <c r="K596" t="s">
        <v>15</v>
      </c>
      <c r="L596" s="2" t="s">
        <v>16</v>
      </c>
      <c r="M596" s="4">
        <v>46</v>
      </c>
      <c r="N596" s="4" t="str">
        <f>IF(Bike_Data[[#This Row],[Age]]&gt;=54,"Old",IF(Bike_Data[[#This Row],[Age]]&lt;30,"Young Adult","Middle Age"))</f>
        <v>Middle Age</v>
      </c>
      <c r="O596" s="5">
        <f t="shared" ca="1" si="9"/>
        <v>35749</v>
      </c>
      <c r="P596" s="2" t="s">
        <v>17</v>
      </c>
    </row>
    <row r="597" spans="1:16" x14ac:dyDescent="0.25">
      <c r="A597">
        <v>13089</v>
      </c>
      <c r="B597" s="2" t="s">
        <v>31</v>
      </c>
      <c r="C597" s="2" t="s">
        <v>33</v>
      </c>
      <c r="D597" s="4">
        <v>120000</v>
      </c>
      <c r="E59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597">
        <v>1</v>
      </c>
      <c r="G597" s="2" t="s">
        <v>12</v>
      </c>
      <c r="H597" s="2" t="s">
        <v>27</v>
      </c>
      <c r="I597" t="s">
        <v>14</v>
      </c>
      <c r="J597">
        <v>2</v>
      </c>
      <c r="K597" t="s">
        <v>15</v>
      </c>
      <c r="L597" s="2" t="s">
        <v>23</v>
      </c>
      <c r="M597" s="4">
        <v>46</v>
      </c>
      <c r="N597" s="4" t="str">
        <f>IF(Bike_Data[[#This Row],[Age]]&gt;=54,"Old",IF(Bike_Data[[#This Row],[Age]]&lt;30,"Young Adult","Middle Age"))</f>
        <v>Middle Age</v>
      </c>
      <c r="O597" s="5">
        <f t="shared" ca="1" si="9"/>
        <v>26110</v>
      </c>
      <c r="P597" s="2" t="s">
        <v>14</v>
      </c>
    </row>
    <row r="598" spans="1:16" x14ac:dyDescent="0.25">
      <c r="A598">
        <v>17754</v>
      </c>
      <c r="B598" s="2" t="s">
        <v>32</v>
      </c>
      <c r="C598" s="2" t="s">
        <v>33</v>
      </c>
      <c r="D598" s="4">
        <v>30000</v>
      </c>
      <c r="E59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598">
        <v>3</v>
      </c>
      <c r="G598" s="2" t="s">
        <v>12</v>
      </c>
      <c r="H598" s="2" t="s">
        <v>19</v>
      </c>
      <c r="I598" t="s">
        <v>14</v>
      </c>
      <c r="J598">
        <v>0</v>
      </c>
      <c r="K598" t="s">
        <v>15</v>
      </c>
      <c r="L598" s="2" t="s">
        <v>16</v>
      </c>
      <c r="M598" s="4">
        <v>46</v>
      </c>
      <c r="N598" s="4" t="str">
        <f>IF(Bike_Data[[#This Row],[Age]]&gt;=54,"Old",IF(Bike_Data[[#This Row],[Age]]&lt;30,"Young Adult","Middle Age"))</f>
        <v>Middle Age</v>
      </c>
      <c r="O598" s="5">
        <f t="shared" ca="1" si="9"/>
        <v>26985</v>
      </c>
      <c r="P598" s="2" t="s">
        <v>14</v>
      </c>
    </row>
    <row r="599" spans="1:16" x14ac:dyDescent="0.25">
      <c r="A599">
        <v>24305</v>
      </c>
      <c r="B599" s="2" t="s">
        <v>32</v>
      </c>
      <c r="C599" s="2" t="s">
        <v>34</v>
      </c>
      <c r="D599" s="4">
        <v>100000</v>
      </c>
      <c r="E59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599">
        <v>1</v>
      </c>
      <c r="G599" s="2" t="s">
        <v>12</v>
      </c>
      <c r="H599" s="2" t="s">
        <v>27</v>
      </c>
      <c r="I599" t="s">
        <v>17</v>
      </c>
      <c r="J599">
        <v>3</v>
      </c>
      <c r="K599" t="s">
        <v>15</v>
      </c>
      <c r="L599" s="2" t="s">
        <v>23</v>
      </c>
      <c r="M599" s="4">
        <v>46</v>
      </c>
      <c r="N599" s="4" t="str">
        <f>IF(Bike_Data[[#This Row],[Age]]&gt;=54,"Old",IF(Bike_Data[[#This Row],[Age]]&lt;30,"Young Adult","Middle Age"))</f>
        <v>Middle Age</v>
      </c>
      <c r="O599" s="5">
        <f t="shared" ca="1" si="9"/>
        <v>36914</v>
      </c>
      <c r="P599" s="2" t="s">
        <v>14</v>
      </c>
    </row>
    <row r="600" spans="1:16" x14ac:dyDescent="0.25">
      <c r="A600">
        <v>18294</v>
      </c>
      <c r="B600" s="2" t="s">
        <v>31</v>
      </c>
      <c r="C600" s="2" t="s">
        <v>33</v>
      </c>
      <c r="D600" s="4">
        <v>90000</v>
      </c>
      <c r="E60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0">
        <v>1</v>
      </c>
      <c r="G600" s="2" t="s">
        <v>12</v>
      </c>
      <c r="H600" s="2" t="s">
        <v>20</v>
      </c>
      <c r="I600" t="s">
        <v>14</v>
      </c>
      <c r="J600">
        <v>1</v>
      </c>
      <c r="K600" t="s">
        <v>22</v>
      </c>
      <c r="L600" s="2" t="s">
        <v>23</v>
      </c>
      <c r="M600" s="4">
        <v>46</v>
      </c>
      <c r="N600" s="4" t="str">
        <f>IF(Bike_Data[[#This Row],[Age]]&gt;=54,"Old",IF(Bike_Data[[#This Row],[Age]]&lt;30,"Young Adult","Middle Age"))</f>
        <v>Middle Age</v>
      </c>
      <c r="O600" s="5">
        <f t="shared" ca="1" si="9"/>
        <v>34007</v>
      </c>
      <c r="P600" s="2" t="s">
        <v>17</v>
      </c>
    </row>
    <row r="601" spans="1:16" x14ac:dyDescent="0.25">
      <c r="A601">
        <v>11738</v>
      </c>
      <c r="B601" s="2" t="s">
        <v>31</v>
      </c>
      <c r="C601" s="2" t="s">
        <v>34</v>
      </c>
      <c r="D601" s="4">
        <v>60000</v>
      </c>
      <c r="E60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1">
        <v>4</v>
      </c>
      <c r="G601" s="2" t="s">
        <v>12</v>
      </c>
      <c r="H601" s="2" t="s">
        <v>20</v>
      </c>
      <c r="I601" t="s">
        <v>14</v>
      </c>
      <c r="J601">
        <v>0</v>
      </c>
      <c r="K601" t="s">
        <v>21</v>
      </c>
      <c r="L601" s="2" t="s">
        <v>30</v>
      </c>
      <c r="M601" s="4">
        <v>46</v>
      </c>
      <c r="N601" s="4" t="str">
        <f>IF(Bike_Data[[#This Row],[Age]]&gt;=54,"Old",IF(Bike_Data[[#This Row],[Age]]&lt;30,"Young Adult","Middle Age"))</f>
        <v>Middle Age</v>
      </c>
      <c r="O601" s="5">
        <f t="shared" ca="1" si="9"/>
        <v>29239</v>
      </c>
      <c r="P601" s="2" t="s">
        <v>17</v>
      </c>
    </row>
    <row r="602" spans="1:16" x14ac:dyDescent="0.25">
      <c r="A602">
        <v>16145</v>
      </c>
      <c r="B602" s="2" t="s">
        <v>32</v>
      </c>
      <c r="C602" s="2" t="s">
        <v>33</v>
      </c>
      <c r="D602" s="4">
        <v>70000</v>
      </c>
      <c r="E60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2">
        <v>5</v>
      </c>
      <c r="G602" s="2" t="s">
        <v>29</v>
      </c>
      <c r="H602" s="2" t="s">
        <v>20</v>
      </c>
      <c r="I602" t="s">
        <v>14</v>
      </c>
      <c r="J602">
        <v>3</v>
      </c>
      <c r="K602" t="s">
        <v>37</v>
      </c>
      <c r="L602" s="2" t="s">
        <v>30</v>
      </c>
      <c r="M602" s="4">
        <v>46</v>
      </c>
      <c r="N602" s="4" t="str">
        <f>IF(Bike_Data[[#This Row],[Age]]&gt;=54,"Old",IF(Bike_Data[[#This Row],[Age]]&lt;30,"Young Adult","Middle Age"))</f>
        <v>Middle Age</v>
      </c>
      <c r="O602" s="5">
        <f t="shared" ca="1" si="9"/>
        <v>32763</v>
      </c>
      <c r="P602" s="2" t="s">
        <v>14</v>
      </c>
    </row>
    <row r="603" spans="1:16" x14ac:dyDescent="0.25">
      <c r="A603">
        <v>17864</v>
      </c>
      <c r="B603" s="2" t="s">
        <v>31</v>
      </c>
      <c r="C603" s="2" t="s">
        <v>33</v>
      </c>
      <c r="D603" s="4">
        <v>60000</v>
      </c>
      <c r="E60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3">
        <v>1</v>
      </c>
      <c r="G603" s="2" t="s">
        <v>18</v>
      </c>
      <c r="H603" s="2" t="s">
        <v>13</v>
      </c>
      <c r="I603" t="s">
        <v>14</v>
      </c>
      <c r="J603">
        <v>1</v>
      </c>
      <c r="K603" t="s">
        <v>21</v>
      </c>
      <c r="L603" s="2" t="s">
        <v>30</v>
      </c>
      <c r="M603" s="4">
        <v>46</v>
      </c>
      <c r="N603" s="4" t="str">
        <f>IF(Bike_Data[[#This Row],[Age]]&gt;=54,"Old",IF(Bike_Data[[#This Row],[Age]]&lt;30,"Young Adult","Middle Age"))</f>
        <v>Middle Age</v>
      </c>
      <c r="O603" s="5">
        <f t="shared" ca="1" si="9"/>
        <v>34566</v>
      </c>
      <c r="P603" s="2" t="s">
        <v>14</v>
      </c>
    </row>
    <row r="604" spans="1:16" x14ac:dyDescent="0.25">
      <c r="A604">
        <v>13314</v>
      </c>
      <c r="B604" s="2" t="s">
        <v>31</v>
      </c>
      <c r="C604" s="2" t="s">
        <v>34</v>
      </c>
      <c r="D604" s="4">
        <v>120000</v>
      </c>
      <c r="E60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04">
        <v>1</v>
      </c>
      <c r="G604" s="2" t="s">
        <v>26</v>
      </c>
      <c r="H604" s="2" t="s">
        <v>20</v>
      </c>
      <c r="I604" t="s">
        <v>14</v>
      </c>
      <c r="J604">
        <v>4</v>
      </c>
      <c r="K604" t="s">
        <v>22</v>
      </c>
      <c r="L604" s="2" t="s">
        <v>30</v>
      </c>
      <c r="M604" s="4">
        <v>46</v>
      </c>
      <c r="N604" s="4" t="str">
        <f>IF(Bike_Data[[#This Row],[Age]]&gt;=54,"Old",IF(Bike_Data[[#This Row],[Age]]&lt;30,"Young Adult","Middle Age"))</f>
        <v>Middle Age</v>
      </c>
      <c r="O604" s="5">
        <f t="shared" ca="1" si="9"/>
        <v>26484</v>
      </c>
      <c r="P604" s="2" t="s">
        <v>14</v>
      </c>
    </row>
    <row r="605" spans="1:16" x14ac:dyDescent="0.25">
      <c r="A605">
        <v>16144</v>
      </c>
      <c r="B605" s="2" t="s">
        <v>31</v>
      </c>
      <c r="C605" s="2" t="s">
        <v>34</v>
      </c>
      <c r="D605" s="4">
        <v>70000</v>
      </c>
      <c r="E60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5">
        <v>1</v>
      </c>
      <c r="G605" s="2" t="s">
        <v>29</v>
      </c>
      <c r="H605" s="2" t="s">
        <v>20</v>
      </c>
      <c r="I605" t="s">
        <v>14</v>
      </c>
      <c r="J605">
        <v>1</v>
      </c>
      <c r="K605" t="s">
        <v>15</v>
      </c>
      <c r="L605" s="2" t="s">
        <v>30</v>
      </c>
      <c r="M605" s="4">
        <v>46</v>
      </c>
      <c r="N605" s="4" t="str">
        <f>IF(Bike_Data[[#This Row],[Age]]&gt;=54,"Old",IF(Bike_Data[[#This Row],[Age]]&lt;30,"Young Adult","Middle Age"))</f>
        <v>Middle Age</v>
      </c>
      <c r="O605" s="5">
        <f t="shared" ca="1" si="9"/>
        <v>26459</v>
      </c>
      <c r="P605" s="2" t="s">
        <v>14</v>
      </c>
    </row>
    <row r="606" spans="1:16" x14ac:dyDescent="0.25">
      <c r="A606">
        <v>13942</v>
      </c>
      <c r="B606" s="2" t="s">
        <v>31</v>
      </c>
      <c r="C606" s="2" t="s">
        <v>34</v>
      </c>
      <c r="D606" s="4">
        <v>60000</v>
      </c>
      <c r="E60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6">
        <v>1</v>
      </c>
      <c r="G606" s="2" t="s">
        <v>18</v>
      </c>
      <c r="H606" s="2" t="s">
        <v>13</v>
      </c>
      <c r="I606" t="s">
        <v>14</v>
      </c>
      <c r="J606">
        <v>1</v>
      </c>
      <c r="K606" t="s">
        <v>15</v>
      </c>
      <c r="L606" s="2" t="s">
        <v>30</v>
      </c>
      <c r="M606" s="4">
        <v>46</v>
      </c>
      <c r="N606" s="4" t="str">
        <f>IF(Bike_Data[[#This Row],[Age]]&gt;=54,"Old",IF(Bike_Data[[#This Row],[Age]]&lt;30,"Young Adult","Middle Age"))</f>
        <v>Middle Age</v>
      </c>
      <c r="O606" s="5">
        <f t="shared" ca="1" si="9"/>
        <v>29051</v>
      </c>
      <c r="P606" s="2" t="s">
        <v>17</v>
      </c>
    </row>
    <row r="607" spans="1:16" x14ac:dyDescent="0.25">
      <c r="A607">
        <v>28192</v>
      </c>
      <c r="B607" s="2" t="s">
        <v>31</v>
      </c>
      <c r="C607" s="2" t="s">
        <v>33</v>
      </c>
      <c r="D607" s="4">
        <v>70000</v>
      </c>
      <c r="E60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07">
        <v>5</v>
      </c>
      <c r="G607" s="2" t="s">
        <v>29</v>
      </c>
      <c r="H607" s="2" t="s">
        <v>20</v>
      </c>
      <c r="I607" t="s">
        <v>14</v>
      </c>
      <c r="J607">
        <v>3</v>
      </c>
      <c r="K607" t="s">
        <v>37</v>
      </c>
      <c r="L607" s="2" t="s">
        <v>30</v>
      </c>
      <c r="M607" s="4">
        <v>46</v>
      </c>
      <c r="N607" s="4" t="str">
        <f>IF(Bike_Data[[#This Row],[Age]]&gt;=54,"Old",IF(Bike_Data[[#This Row],[Age]]&lt;30,"Young Adult","Middle Age"))</f>
        <v>Middle Age</v>
      </c>
      <c r="O607" s="5">
        <f t="shared" ca="1" si="9"/>
        <v>37626</v>
      </c>
      <c r="P607" s="2" t="s">
        <v>17</v>
      </c>
    </row>
    <row r="608" spans="1:16" x14ac:dyDescent="0.25">
      <c r="A608">
        <v>13934</v>
      </c>
      <c r="B608" s="2" t="s">
        <v>31</v>
      </c>
      <c r="C608" s="2" t="s">
        <v>34</v>
      </c>
      <c r="D608" s="4">
        <v>40000</v>
      </c>
      <c r="E60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08">
        <v>4</v>
      </c>
      <c r="G608" s="2" t="s">
        <v>26</v>
      </c>
      <c r="H608" s="2" t="s">
        <v>13</v>
      </c>
      <c r="I608" t="s">
        <v>14</v>
      </c>
      <c r="J608">
        <v>2</v>
      </c>
      <c r="K608" t="s">
        <v>21</v>
      </c>
      <c r="L608" s="2" t="s">
        <v>30</v>
      </c>
      <c r="M608" s="4">
        <v>46</v>
      </c>
      <c r="N608" s="4" t="str">
        <f>IF(Bike_Data[[#This Row],[Age]]&gt;=54,"Old",IF(Bike_Data[[#This Row],[Age]]&lt;30,"Young Adult","Middle Age"))</f>
        <v>Middle Age</v>
      </c>
      <c r="O608" s="5">
        <f t="shared" ca="1" si="9"/>
        <v>27399</v>
      </c>
      <c r="P608" s="2" t="s">
        <v>17</v>
      </c>
    </row>
    <row r="609" spans="1:16" x14ac:dyDescent="0.25">
      <c r="A609">
        <v>15982</v>
      </c>
      <c r="B609" s="2" t="s">
        <v>31</v>
      </c>
      <c r="C609" s="2" t="s">
        <v>34</v>
      </c>
      <c r="D609" s="4">
        <v>110000</v>
      </c>
      <c r="E60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09">
        <v>5</v>
      </c>
      <c r="G609" s="2" t="s">
        <v>18</v>
      </c>
      <c r="H609" s="2" t="s">
        <v>20</v>
      </c>
      <c r="I609" t="s">
        <v>14</v>
      </c>
      <c r="J609">
        <v>4</v>
      </c>
      <c r="K609" t="s">
        <v>21</v>
      </c>
      <c r="L609" s="2" t="s">
        <v>30</v>
      </c>
      <c r="M609" s="4">
        <v>46</v>
      </c>
      <c r="N609" s="4" t="str">
        <f>IF(Bike_Data[[#This Row],[Age]]&gt;=54,"Old",IF(Bike_Data[[#This Row],[Age]]&lt;30,"Young Adult","Middle Age"))</f>
        <v>Middle Age</v>
      </c>
      <c r="O609" s="5">
        <f t="shared" ca="1" si="9"/>
        <v>37158</v>
      </c>
      <c r="P609" s="2" t="s">
        <v>17</v>
      </c>
    </row>
    <row r="610" spans="1:16" x14ac:dyDescent="0.25">
      <c r="A610">
        <v>13466</v>
      </c>
      <c r="B610" s="2" t="s">
        <v>31</v>
      </c>
      <c r="C610" s="2" t="s">
        <v>34</v>
      </c>
      <c r="D610" s="4">
        <v>80000</v>
      </c>
      <c r="E61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10">
        <v>5</v>
      </c>
      <c r="G610" s="2" t="s">
        <v>18</v>
      </c>
      <c r="H610" s="2" t="s">
        <v>20</v>
      </c>
      <c r="I610" t="s">
        <v>14</v>
      </c>
      <c r="J610">
        <v>3</v>
      </c>
      <c r="K610" t="s">
        <v>25</v>
      </c>
      <c r="L610" s="2" t="s">
        <v>30</v>
      </c>
      <c r="M610" s="4">
        <v>46</v>
      </c>
      <c r="N610" s="4" t="str">
        <f>IF(Bike_Data[[#This Row],[Age]]&gt;=54,"Old",IF(Bike_Data[[#This Row],[Age]]&lt;30,"Young Adult","Middle Age"))</f>
        <v>Middle Age</v>
      </c>
      <c r="O610" s="5">
        <f t="shared" ca="1" si="9"/>
        <v>31971</v>
      </c>
      <c r="P610" s="2" t="s">
        <v>17</v>
      </c>
    </row>
    <row r="611" spans="1:16" x14ac:dyDescent="0.25">
      <c r="A611">
        <v>12610</v>
      </c>
      <c r="B611" s="2" t="s">
        <v>31</v>
      </c>
      <c r="C611" s="2" t="s">
        <v>33</v>
      </c>
      <c r="D611" s="4">
        <v>30000</v>
      </c>
      <c r="E61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11">
        <v>1</v>
      </c>
      <c r="G611" s="2" t="s">
        <v>12</v>
      </c>
      <c r="H611" s="2" t="s">
        <v>19</v>
      </c>
      <c r="I611" t="s">
        <v>14</v>
      </c>
      <c r="J611">
        <v>0</v>
      </c>
      <c r="K611" t="s">
        <v>15</v>
      </c>
      <c r="L611" s="2" t="s">
        <v>16</v>
      </c>
      <c r="M611" s="4">
        <v>47</v>
      </c>
      <c r="N611" s="4" t="str">
        <f>IF(Bike_Data[[#This Row],[Age]]&gt;=54,"Old",IF(Bike_Data[[#This Row],[Age]]&lt;30,"Young Adult","Middle Age"))</f>
        <v>Middle Age</v>
      </c>
      <c r="O611" s="5">
        <f t="shared" ca="1" si="9"/>
        <v>33980</v>
      </c>
      <c r="P611" s="2" t="s">
        <v>17</v>
      </c>
    </row>
    <row r="612" spans="1:16" x14ac:dyDescent="0.25">
      <c r="A612">
        <v>26941</v>
      </c>
      <c r="B612" s="2" t="s">
        <v>31</v>
      </c>
      <c r="C612" s="2" t="s">
        <v>34</v>
      </c>
      <c r="D612" s="4">
        <v>30000</v>
      </c>
      <c r="E61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12">
        <v>0</v>
      </c>
      <c r="G612" s="2" t="s">
        <v>12</v>
      </c>
      <c r="H612" s="2" t="s">
        <v>19</v>
      </c>
      <c r="I612" t="s">
        <v>14</v>
      </c>
      <c r="J612">
        <v>0</v>
      </c>
      <c r="K612" t="s">
        <v>15</v>
      </c>
      <c r="L612" s="2" t="s">
        <v>16</v>
      </c>
      <c r="M612" s="4">
        <v>47</v>
      </c>
      <c r="N612" s="4" t="str">
        <f>IF(Bike_Data[[#This Row],[Age]]&gt;=54,"Old",IF(Bike_Data[[#This Row],[Age]]&lt;30,"Young Adult","Middle Age"))</f>
        <v>Middle Age</v>
      </c>
      <c r="O612" s="5">
        <f t="shared" ca="1" si="9"/>
        <v>35367</v>
      </c>
      <c r="P612" s="2" t="s">
        <v>14</v>
      </c>
    </row>
    <row r="613" spans="1:16" x14ac:dyDescent="0.25">
      <c r="A613">
        <v>25058</v>
      </c>
      <c r="B613" s="2" t="s">
        <v>31</v>
      </c>
      <c r="C613" s="2" t="s">
        <v>34</v>
      </c>
      <c r="D613" s="4">
        <v>100000</v>
      </c>
      <c r="E61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13">
        <v>1</v>
      </c>
      <c r="G613" s="2" t="s">
        <v>12</v>
      </c>
      <c r="H613" s="2" t="s">
        <v>27</v>
      </c>
      <c r="I613" t="s">
        <v>14</v>
      </c>
      <c r="J613">
        <v>3</v>
      </c>
      <c r="K613" t="s">
        <v>21</v>
      </c>
      <c r="L613" s="2" t="s">
        <v>23</v>
      </c>
      <c r="M613" s="4">
        <v>47</v>
      </c>
      <c r="N613" s="4" t="str">
        <f>IF(Bike_Data[[#This Row],[Age]]&gt;=54,"Old",IF(Bike_Data[[#This Row],[Age]]&lt;30,"Young Adult","Middle Age"))</f>
        <v>Middle Age</v>
      </c>
      <c r="O613" s="5">
        <f t="shared" ca="1" si="9"/>
        <v>29525</v>
      </c>
      <c r="P613" s="2" t="s">
        <v>17</v>
      </c>
    </row>
    <row r="614" spans="1:16" x14ac:dyDescent="0.25">
      <c r="A614">
        <v>26757</v>
      </c>
      <c r="B614" s="2" t="s">
        <v>32</v>
      </c>
      <c r="C614" s="2" t="s">
        <v>34</v>
      </c>
      <c r="D614" s="4">
        <v>90000</v>
      </c>
      <c r="E61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14">
        <v>1</v>
      </c>
      <c r="G614" s="2" t="s">
        <v>12</v>
      </c>
      <c r="H614" s="2" t="s">
        <v>20</v>
      </c>
      <c r="I614" t="s">
        <v>14</v>
      </c>
      <c r="J614">
        <v>1</v>
      </c>
      <c r="K614" t="s">
        <v>21</v>
      </c>
      <c r="L614" s="2" t="s">
        <v>23</v>
      </c>
      <c r="M614" s="4">
        <v>47</v>
      </c>
      <c r="N614" s="4" t="str">
        <f>IF(Bike_Data[[#This Row],[Age]]&gt;=54,"Old",IF(Bike_Data[[#This Row],[Age]]&lt;30,"Young Adult","Middle Age"))</f>
        <v>Middle Age</v>
      </c>
      <c r="O614" s="5">
        <f t="shared" ca="1" si="9"/>
        <v>33594</v>
      </c>
      <c r="P614" s="2" t="s">
        <v>14</v>
      </c>
    </row>
    <row r="615" spans="1:16" x14ac:dyDescent="0.25">
      <c r="A615">
        <v>12273</v>
      </c>
      <c r="B615" s="2" t="s">
        <v>31</v>
      </c>
      <c r="C615" s="2" t="s">
        <v>34</v>
      </c>
      <c r="D615" s="4">
        <v>30000</v>
      </c>
      <c r="E61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15">
        <v>1</v>
      </c>
      <c r="G615" s="2" t="s">
        <v>12</v>
      </c>
      <c r="H615" s="2" t="s">
        <v>19</v>
      </c>
      <c r="I615" t="s">
        <v>14</v>
      </c>
      <c r="J615">
        <v>0</v>
      </c>
      <c r="K615" t="s">
        <v>15</v>
      </c>
      <c r="L615" s="2" t="s">
        <v>16</v>
      </c>
      <c r="M615" s="4">
        <v>47</v>
      </c>
      <c r="N615" s="4" t="str">
        <f>IF(Bike_Data[[#This Row],[Age]]&gt;=54,"Old",IF(Bike_Data[[#This Row],[Age]]&lt;30,"Young Adult","Middle Age"))</f>
        <v>Middle Age</v>
      </c>
      <c r="O615" s="5">
        <f t="shared" ca="1" si="9"/>
        <v>26941</v>
      </c>
      <c r="P615" s="2" t="s">
        <v>17</v>
      </c>
    </row>
    <row r="616" spans="1:16" x14ac:dyDescent="0.25">
      <c r="A616">
        <v>15799</v>
      </c>
      <c r="B616" s="2" t="s">
        <v>31</v>
      </c>
      <c r="C616" s="2" t="s">
        <v>33</v>
      </c>
      <c r="D616" s="4">
        <v>90000</v>
      </c>
      <c r="E61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16">
        <v>1</v>
      </c>
      <c r="G616" s="2" t="s">
        <v>12</v>
      </c>
      <c r="H616" s="2" t="s">
        <v>20</v>
      </c>
      <c r="I616" t="s">
        <v>14</v>
      </c>
      <c r="J616">
        <v>1</v>
      </c>
      <c r="K616" t="s">
        <v>21</v>
      </c>
      <c r="L616" s="2" t="s">
        <v>23</v>
      </c>
      <c r="M616" s="4">
        <v>47</v>
      </c>
      <c r="N616" s="4" t="str">
        <f>IF(Bike_Data[[#This Row],[Age]]&gt;=54,"Old",IF(Bike_Data[[#This Row],[Age]]&lt;30,"Young Adult","Middle Age"))</f>
        <v>Middle Age</v>
      </c>
      <c r="O616" s="5">
        <f t="shared" ca="1" si="9"/>
        <v>27740</v>
      </c>
      <c r="P616" s="2" t="s">
        <v>14</v>
      </c>
    </row>
    <row r="617" spans="1:16" x14ac:dyDescent="0.25">
      <c r="A617">
        <v>20839</v>
      </c>
      <c r="B617" s="2" t="s">
        <v>32</v>
      </c>
      <c r="C617" s="2" t="s">
        <v>33</v>
      </c>
      <c r="D617" s="4">
        <v>30000</v>
      </c>
      <c r="E61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17">
        <v>3</v>
      </c>
      <c r="G617" s="2" t="s">
        <v>29</v>
      </c>
      <c r="H617" s="2" t="s">
        <v>19</v>
      </c>
      <c r="I617" t="s">
        <v>14</v>
      </c>
      <c r="J617">
        <v>0</v>
      </c>
      <c r="K617" t="s">
        <v>15</v>
      </c>
      <c r="L617" s="2" t="s">
        <v>16</v>
      </c>
      <c r="M617" s="4">
        <v>47</v>
      </c>
      <c r="N617" s="4" t="str">
        <f>IF(Bike_Data[[#This Row],[Age]]&gt;=54,"Old",IF(Bike_Data[[#This Row],[Age]]&lt;30,"Young Adult","Middle Age"))</f>
        <v>Middle Age</v>
      </c>
      <c r="O617" s="5">
        <f t="shared" ca="1" si="9"/>
        <v>33545</v>
      </c>
      <c r="P617" s="2" t="s">
        <v>14</v>
      </c>
    </row>
    <row r="618" spans="1:16" x14ac:dyDescent="0.25">
      <c r="A618">
        <v>13133</v>
      </c>
      <c r="B618" s="2" t="s">
        <v>32</v>
      </c>
      <c r="C618" s="2" t="s">
        <v>34</v>
      </c>
      <c r="D618" s="4">
        <v>100000</v>
      </c>
      <c r="E61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18">
        <v>5</v>
      </c>
      <c r="G618" s="2" t="s">
        <v>12</v>
      </c>
      <c r="H618" s="2" t="s">
        <v>20</v>
      </c>
      <c r="I618" t="s">
        <v>14</v>
      </c>
      <c r="J618">
        <v>1</v>
      </c>
      <c r="K618" t="s">
        <v>22</v>
      </c>
      <c r="L618" s="2" t="s">
        <v>23</v>
      </c>
      <c r="M618" s="4">
        <v>47</v>
      </c>
      <c r="N618" s="4" t="str">
        <f>IF(Bike_Data[[#This Row],[Age]]&gt;=54,"Old",IF(Bike_Data[[#This Row],[Age]]&lt;30,"Young Adult","Middle Age"))</f>
        <v>Middle Age</v>
      </c>
      <c r="O618" s="5">
        <f t="shared" ca="1" si="9"/>
        <v>31161</v>
      </c>
      <c r="P618" s="2" t="s">
        <v>14</v>
      </c>
    </row>
    <row r="619" spans="1:16" x14ac:dyDescent="0.25">
      <c r="A619">
        <v>11381</v>
      </c>
      <c r="B619" s="2" t="s">
        <v>31</v>
      </c>
      <c r="C619" s="2" t="s">
        <v>33</v>
      </c>
      <c r="D619" s="4">
        <v>20000</v>
      </c>
      <c r="E61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19">
        <v>2</v>
      </c>
      <c r="G619" s="2" t="s">
        <v>18</v>
      </c>
      <c r="H619" s="2" t="s">
        <v>24</v>
      </c>
      <c r="I619" t="s">
        <v>14</v>
      </c>
      <c r="J619">
        <v>1</v>
      </c>
      <c r="K619" t="s">
        <v>21</v>
      </c>
      <c r="L619" s="2" t="s">
        <v>16</v>
      </c>
      <c r="M619" s="4">
        <v>47</v>
      </c>
      <c r="N619" s="4" t="str">
        <f>IF(Bike_Data[[#This Row],[Age]]&gt;=54,"Old",IF(Bike_Data[[#This Row],[Age]]&lt;30,"Young Adult","Middle Age"))</f>
        <v>Middle Age</v>
      </c>
      <c r="O619" s="5">
        <f t="shared" ca="1" si="9"/>
        <v>34275</v>
      </c>
      <c r="P619" s="2" t="s">
        <v>14</v>
      </c>
    </row>
    <row r="620" spans="1:16" x14ac:dyDescent="0.25">
      <c r="A620">
        <v>17522</v>
      </c>
      <c r="B620" s="2" t="s">
        <v>31</v>
      </c>
      <c r="C620" s="2" t="s">
        <v>34</v>
      </c>
      <c r="D620" s="4">
        <v>120000</v>
      </c>
      <c r="E62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20">
        <v>4</v>
      </c>
      <c r="G620" s="2" t="s">
        <v>12</v>
      </c>
      <c r="H620" s="2" t="s">
        <v>27</v>
      </c>
      <c r="I620" t="s">
        <v>14</v>
      </c>
      <c r="J620">
        <v>1</v>
      </c>
      <c r="K620" t="s">
        <v>21</v>
      </c>
      <c r="L620" s="2" t="s">
        <v>23</v>
      </c>
      <c r="M620" s="4">
        <v>47</v>
      </c>
      <c r="N620" s="4" t="str">
        <f>IF(Bike_Data[[#This Row],[Age]]&gt;=54,"Old",IF(Bike_Data[[#This Row],[Age]]&lt;30,"Young Adult","Middle Age"))</f>
        <v>Middle Age</v>
      </c>
      <c r="O620" s="5">
        <f t="shared" ca="1" si="9"/>
        <v>32845</v>
      </c>
      <c r="P620" s="2" t="s">
        <v>17</v>
      </c>
    </row>
    <row r="621" spans="1:16" x14ac:dyDescent="0.25">
      <c r="A621">
        <v>18740</v>
      </c>
      <c r="B621" s="2" t="s">
        <v>31</v>
      </c>
      <c r="C621" s="2" t="s">
        <v>34</v>
      </c>
      <c r="D621" s="4">
        <v>80000</v>
      </c>
      <c r="E62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21">
        <v>5</v>
      </c>
      <c r="G621" s="2" t="s">
        <v>12</v>
      </c>
      <c r="H621" s="2" t="s">
        <v>20</v>
      </c>
      <c r="I621" t="s">
        <v>17</v>
      </c>
      <c r="J621">
        <v>1</v>
      </c>
      <c r="K621" t="s">
        <v>15</v>
      </c>
      <c r="L621" s="2" t="s">
        <v>23</v>
      </c>
      <c r="M621" s="4">
        <v>47</v>
      </c>
      <c r="N621" s="4" t="str">
        <f>IF(Bike_Data[[#This Row],[Age]]&gt;=54,"Old",IF(Bike_Data[[#This Row],[Age]]&lt;30,"Young Adult","Middle Age"))</f>
        <v>Middle Age</v>
      </c>
      <c r="O621" s="5">
        <f t="shared" ca="1" si="9"/>
        <v>34553</v>
      </c>
      <c r="P621" s="2" t="s">
        <v>14</v>
      </c>
    </row>
    <row r="622" spans="1:16" x14ac:dyDescent="0.25">
      <c r="A622">
        <v>16675</v>
      </c>
      <c r="B622" s="2" t="s">
        <v>32</v>
      </c>
      <c r="C622" s="2" t="s">
        <v>33</v>
      </c>
      <c r="D622" s="4">
        <v>160000</v>
      </c>
      <c r="E62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22">
        <v>0</v>
      </c>
      <c r="G622" s="2" t="s">
        <v>29</v>
      </c>
      <c r="H622" s="2" t="s">
        <v>27</v>
      </c>
      <c r="I622" t="s">
        <v>17</v>
      </c>
      <c r="J622">
        <v>3</v>
      </c>
      <c r="K622" t="s">
        <v>15</v>
      </c>
      <c r="L622" s="2" t="s">
        <v>23</v>
      </c>
      <c r="M622" s="4">
        <v>47</v>
      </c>
      <c r="N622" s="4" t="str">
        <f>IF(Bike_Data[[#This Row],[Age]]&gt;=54,"Old",IF(Bike_Data[[#This Row],[Age]]&lt;30,"Young Adult","Middle Age"))</f>
        <v>Middle Age</v>
      </c>
      <c r="O622" s="5">
        <f t="shared" ca="1" si="9"/>
        <v>34236</v>
      </c>
      <c r="P622" s="2" t="s">
        <v>14</v>
      </c>
    </row>
    <row r="623" spans="1:16" x14ac:dyDescent="0.25">
      <c r="A623">
        <v>25241</v>
      </c>
      <c r="B623" s="2" t="s">
        <v>31</v>
      </c>
      <c r="C623" s="2" t="s">
        <v>34</v>
      </c>
      <c r="D623" s="4">
        <v>90000</v>
      </c>
      <c r="E62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23">
        <v>2</v>
      </c>
      <c r="G623" s="2" t="s">
        <v>12</v>
      </c>
      <c r="H623" s="2" t="s">
        <v>20</v>
      </c>
      <c r="I623" t="s">
        <v>14</v>
      </c>
      <c r="J623">
        <v>1</v>
      </c>
      <c r="K623" t="s">
        <v>22</v>
      </c>
      <c r="L623" s="2" t="s">
        <v>23</v>
      </c>
      <c r="M623" s="4">
        <v>47</v>
      </c>
      <c r="N623" s="4" t="str">
        <f>IF(Bike_Data[[#This Row],[Age]]&gt;=54,"Old",IF(Bike_Data[[#This Row],[Age]]&lt;30,"Young Adult","Middle Age"))</f>
        <v>Middle Age</v>
      </c>
      <c r="O623" s="5">
        <f t="shared" ca="1" si="9"/>
        <v>36006</v>
      </c>
      <c r="P623" s="2" t="s">
        <v>17</v>
      </c>
    </row>
    <row r="624" spans="1:16" x14ac:dyDescent="0.25">
      <c r="A624">
        <v>16549</v>
      </c>
      <c r="B624" s="2" t="s">
        <v>32</v>
      </c>
      <c r="C624" s="2" t="s">
        <v>33</v>
      </c>
      <c r="D624" s="4">
        <v>30000</v>
      </c>
      <c r="E62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24">
        <v>3</v>
      </c>
      <c r="G624" s="2" t="s">
        <v>12</v>
      </c>
      <c r="H624" s="2" t="s">
        <v>19</v>
      </c>
      <c r="I624" t="s">
        <v>14</v>
      </c>
      <c r="J624">
        <v>0</v>
      </c>
      <c r="K624" t="s">
        <v>15</v>
      </c>
      <c r="L624" s="2" t="s">
        <v>16</v>
      </c>
      <c r="M624" s="4">
        <v>47</v>
      </c>
      <c r="N624" s="4" t="str">
        <f>IF(Bike_Data[[#This Row],[Age]]&gt;=54,"Old",IF(Bike_Data[[#This Row],[Age]]&lt;30,"Young Adult","Middle Age"))</f>
        <v>Middle Age</v>
      </c>
      <c r="O624" s="5">
        <f t="shared" ca="1" si="9"/>
        <v>31498</v>
      </c>
      <c r="P624" s="2" t="s">
        <v>14</v>
      </c>
    </row>
    <row r="625" spans="1:16" x14ac:dyDescent="0.25">
      <c r="A625">
        <v>15665</v>
      </c>
      <c r="B625" s="2" t="s">
        <v>31</v>
      </c>
      <c r="C625" s="2" t="s">
        <v>33</v>
      </c>
      <c r="D625" s="4">
        <v>30000</v>
      </c>
      <c r="E62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25">
        <v>0</v>
      </c>
      <c r="G625" s="2" t="s">
        <v>12</v>
      </c>
      <c r="H625" s="2" t="s">
        <v>19</v>
      </c>
      <c r="I625" t="s">
        <v>14</v>
      </c>
      <c r="J625">
        <v>0</v>
      </c>
      <c r="K625" t="s">
        <v>15</v>
      </c>
      <c r="L625" s="2" t="s">
        <v>16</v>
      </c>
      <c r="M625" s="4">
        <v>47</v>
      </c>
      <c r="N625" s="4" t="str">
        <f>IF(Bike_Data[[#This Row],[Age]]&gt;=54,"Old",IF(Bike_Data[[#This Row],[Age]]&lt;30,"Young Adult","Middle Age"))</f>
        <v>Middle Age</v>
      </c>
      <c r="O625" s="5">
        <f t="shared" ca="1" si="9"/>
        <v>34542</v>
      </c>
      <c r="P625" s="2" t="s">
        <v>14</v>
      </c>
    </row>
    <row r="626" spans="1:16" x14ac:dyDescent="0.25">
      <c r="A626">
        <v>15559</v>
      </c>
      <c r="B626" s="2" t="s">
        <v>31</v>
      </c>
      <c r="C626" s="2" t="s">
        <v>34</v>
      </c>
      <c r="D626" s="4">
        <v>60000</v>
      </c>
      <c r="E62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26">
        <v>5</v>
      </c>
      <c r="G626" s="2" t="s">
        <v>12</v>
      </c>
      <c r="H626" s="2" t="s">
        <v>20</v>
      </c>
      <c r="I626" t="s">
        <v>14</v>
      </c>
      <c r="J626">
        <v>1</v>
      </c>
      <c r="K626" t="s">
        <v>21</v>
      </c>
      <c r="L626" s="2" t="s">
        <v>30</v>
      </c>
      <c r="M626" s="4">
        <v>47</v>
      </c>
      <c r="N626" s="4" t="str">
        <f>IF(Bike_Data[[#This Row],[Age]]&gt;=54,"Old",IF(Bike_Data[[#This Row],[Age]]&lt;30,"Young Adult","Middle Age"))</f>
        <v>Middle Age</v>
      </c>
      <c r="O626" s="5">
        <f t="shared" ca="1" si="9"/>
        <v>35802</v>
      </c>
      <c r="P626" s="2" t="s">
        <v>17</v>
      </c>
    </row>
    <row r="627" spans="1:16" x14ac:dyDescent="0.25">
      <c r="A627">
        <v>16154</v>
      </c>
      <c r="B627" s="2" t="s">
        <v>31</v>
      </c>
      <c r="C627" s="2" t="s">
        <v>33</v>
      </c>
      <c r="D627" s="4">
        <v>70000</v>
      </c>
      <c r="E62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27">
        <v>5</v>
      </c>
      <c r="G627" s="2" t="s">
        <v>12</v>
      </c>
      <c r="H627" s="2" t="s">
        <v>20</v>
      </c>
      <c r="I627" t="s">
        <v>14</v>
      </c>
      <c r="J627">
        <v>2</v>
      </c>
      <c r="K627" t="s">
        <v>21</v>
      </c>
      <c r="L627" s="2" t="s">
        <v>30</v>
      </c>
      <c r="M627" s="4">
        <v>47</v>
      </c>
      <c r="N627" s="4" t="str">
        <f>IF(Bike_Data[[#This Row],[Age]]&gt;=54,"Old",IF(Bike_Data[[#This Row],[Age]]&lt;30,"Young Adult","Middle Age"))</f>
        <v>Middle Age</v>
      </c>
      <c r="O627" s="5">
        <f t="shared" ca="1" si="9"/>
        <v>28734</v>
      </c>
      <c r="P627" s="2" t="s">
        <v>17</v>
      </c>
    </row>
    <row r="628" spans="1:16" x14ac:dyDescent="0.25">
      <c r="A628">
        <v>17269</v>
      </c>
      <c r="B628" s="2" t="s">
        <v>32</v>
      </c>
      <c r="C628" s="2" t="s">
        <v>34</v>
      </c>
      <c r="D628" s="4">
        <v>60000</v>
      </c>
      <c r="E62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28">
        <v>3</v>
      </c>
      <c r="G628" s="2" t="s">
        <v>12</v>
      </c>
      <c r="H628" s="2" t="s">
        <v>20</v>
      </c>
      <c r="I628" t="s">
        <v>17</v>
      </c>
      <c r="J628">
        <v>0</v>
      </c>
      <c r="K628" t="s">
        <v>15</v>
      </c>
      <c r="L628" s="2" t="s">
        <v>30</v>
      </c>
      <c r="M628" s="4">
        <v>47</v>
      </c>
      <c r="N628" s="4" t="str">
        <f>IF(Bike_Data[[#This Row],[Age]]&gt;=54,"Old",IF(Bike_Data[[#This Row],[Age]]&lt;30,"Young Adult","Middle Age"))</f>
        <v>Middle Age</v>
      </c>
      <c r="O628" s="5">
        <f t="shared" ca="1" si="9"/>
        <v>34959</v>
      </c>
      <c r="P628" s="2" t="s">
        <v>14</v>
      </c>
    </row>
    <row r="629" spans="1:16" x14ac:dyDescent="0.25">
      <c r="A629">
        <v>19413</v>
      </c>
      <c r="B629" s="2" t="s">
        <v>32</v>
      </c>
      <c r="C629" s="2" t="s">
        <v>34</v>
      </c>
      <c r="D629" s="4">
        <v>60000</v>
      </c>
      <c r="E62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29">
        <v>3</v>
      </c>
      <c r="G629" s="2" t="s">
        <v>12</v>
      </c>
      <c r="H629" s="2" t="s">
        <v>20</v>
      </c>
      <c r="I629" t="s">
        <v>17</v>
      </c>
      <c r="J629">
        <v>1</v>
      </c>
      <c r="K629" t="s">
        <v>15</v>
      </c>
      <c r="L629" s="2" t="s">
        <v>30</v>
      </c>
      <c r="M629" s="4">
        <v>47</v>
      </c>
      <c r="N629" s="4" t="str">
        <f>IF(Bike_Data[[#This Row],[Age]]&gt;=54,"Old",IF(Bike_Data[[#This Row],[Age]]&lt;30,"Young Adult","Middle Age"))</f>
        <v>Middle Age</v>
      </c>
      <c r="O629" s="5">
        <f t="shared" ca="1" si="9"/>
        <v>36924</v>
      </c>
      <c r="P629" s="2" t="s">
        <v>14</v>
      </c>
    </row>
    <row r="630" spans="1:16" x14ac:dyDescent="0.25">
      <c r="A630">
        <v>13749</v>
      </c>
      <c r="B630" s="2" t="s">
        <v>31</v>
      </c>
      <c r="C630" s="2" t="s">
        <v>34</v>
      </c>
      <c r="D630" s="4">
        <v>80000</v>
      </c>
      <c r="E63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0">
        <v>4</v>
      </c>
      <c r="G630" s="2" t="s">
        <v>29</v>
      </c>
      <c r="H630" s="2" t="s">
        <v>13</v>
      </c>
      <c r="I630" t="s">
        <v>14</v>
      </c>
      <c r="J630">
        <v>0</v>
      </c>
      <c r="K630" t="s">
        <v>25</v>
      </c>
      <c r="L630" s="2" t="s">
        <v>30</v>
      </c>
      <c r="M630" s="4">
        <v>47</v>
      </c>
      <c r="N630" s="4" t="str">
        <f>IF(Bike_Data[[#This Row],[Age]]&gt;=54,"Old",IF(Bike_Data[[#This Row],[Age]]&lt;30,"Young Adult","Middle Age"))</f>
        <v>Middle Age</v>
      </c>
      <c r="O630" s="5">
        <f t="shared" ca="1" si="9"/>
        <v>35745</v>
      </c>
      <c r="P630" s="2" t="s">
        <v>17</v>
      </c>
    </row>
    <row r="631" spans="1:16" x14ac:dyDescent="0.25">
      <c r="A631">
        <v>11538</v>
      </c>
      <c r="B631" s="2" t="s">
        <v>32</v>
      </c>
      <c r="C631" s="2" t="s">
        <v>33</v>
      </c>
      <c r="D631" s="4">
        <v>60000</v>
      </c>
      <c r="E63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1">
        <v>4</v>
      </c>
      <c r="G631" s="2" t="s">
        <v>29</v>
      </c>
      <c r="H631" s="2" t="s">
        <v>13</v>
      </c>
      <c r="I631" t="s">
        <v>17</v>
      </c>
      <c r="J631">
        <v>0</v>
      </c>
      <c r="K631" t="s">
        <v>15</v>
      </c>
      <c r="L631" s="2" t="s">
        <v>30</v>
      </c>
      <c r="M631" s="4">
        <v>47</v>
      </c>
      <c r="N631" s="4" t="str">
        <f>IF(Bike_Data[[#This Row],[Age]]&gt;=54,"Old",IF(Bike_Data[[#This Row],[Age]]&lt;30,"Young Adult","Middle Age"))</f>
        <v>Middle Age</v>
      </c>
      <c r="O631" s="5">
        <f t="shared" ca="1" si="9"/>
        <v>27223</v>
      </c>
      <c r="P631" s="2" t="s">
        <v>14</v>
      </c>
    </row>
    <row r="632" spans="1:16" x14ac:dyDescent="0.25">
      <c r="A632">
        <v>16245</v>
      </c>
      <c r="B632" s="2" t="s">
        <v>32</v>
      </c>
      <c r="C632" s="2" t="s">
        <v>33</v>
      </c>
      <c r="D632" s="4">
        <v>80000</v>
      </c>
      <c r="E63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2">
        <v>4</v>
      </c>
      <c r="G632" s="2" t="s">
        <v>29</v>
      </c>
      <c r="H632" s="2" t="s">
        <v>13</v>
      </c>
      <c r="I632" t="s">
        <v>14</v>
      </c>
      <c r="J632">
        <v>0</v>
      </c>
      <c r="K632" t="s">
        <v>25</v>
      </c>
      <c r="L632" s="2" t="s">
        <v>30</v>
      </c>
      <c r="M632" s="4">
        <v>47</v>
      </c>
      <c r="N632" s="4" t="str">
        <f>IF(Bike_Data[[#This Row],[Age]]&gt;=54,"Old",IF(Bike_Data[[#This Row],[Age]]&lt;30,"Young Adult","Middle Age"))</f>
        <v>Middle Age</v>
      </c>
      <c r="O632" s="5">
        <f t="shared" ca="1" si="9"/>
        <v>35819</v>
      </c>
      <c r="P632" s="2" t="s">
        <v>17</v>
      </c>
    </row>
    <row r="633" spans="1:16" x14ac:dyDescent="0.25">
      <c r="A633">
        <v>25101</v>
      </c>
      <c r="B633" s="2" t="s">
        <v>31</v>
      </c>
      <c r="C633" s="2" t="s">
        <v>34</v>
      </c>
      <c r="D633" s="4">
        <v>60000</v>
      </c>
      <c r="E63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3">
        <v>5</v>
      </c>
      <c r="G633" s="2" t="s">
        <v>12</v>
      </c>
      <c r="H633" s="2" t="s">
        <v>20</v>
      </c>
      <c r="I633" t="s">
        <v>14</v>
      </c>
      <c r="J633">
        <v>1</v>
      </c>
      <c r="K633" t="s">
        <v>21</v>
      </c>
      <c r="L633" s="2" t="s">
        <v>30</v>
      </c>
      <c r="M633" s="4">
        <v>47</v>
      </c>
      <c r="N633" s="4" t="str">
        <f>IF(Bike_Data[[#This Row],[Age]]&gt;=54,"Old",IF(Bike_Data[[#This Row],[Age]]&lt;30,"Young Adult","Middle Age"))</f>
        <v>Middle Age</v>
      </c>
      <c r="O633" s="5">
        <f t="shared" ca="1" si="9"/>
        <v>35211</v>
      </c>
      <c r="P633" s="2" t="s">
        <v>17</v>
      </c>
    </row>
    <row r="634" spans="1:16" x14ac:dyDescent="0.25">
      <c r="A634">
        <v>16247</v>
      </c>
      <c r="B634" s="2" t="s">
        <v>32</v>
      </c>
      <c r="C634" s="2" t="s">
        <v>33</v>
      </c>
      <c r="D634" s="4">
        <v>60000</v>
      </c>
      <c r="E63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4">
        <v>4</v>
      </c>
      <c r="G634" s="2" t="s">
        <v>29</v>
      </c>
      <c r="H634" s="2" t="s">
        <v>13</v>
      </c>
      <c r="I634" t="s">
        <v>17</v>
      </c>
      <c r="J634">
        <v>0</v>
      </c>
      <c r="K634" t="s">
        <v>25</v>
      </c>
      <c r="L634" s="2" t="s">
        <v>30</v>
      </c>
      <c r="M634" s="4">
        <v>47</v>
      </c>
      <c r="N634" s="4" t="str">
        <f>IF(Bike_Data[[#This Row],[Age]]&gt;=54,"Old",IF(Bike_Data[[#This Row],[Age]]&lt;30,"Young Adult","Middle Age"))</f>
        <v>Middle Age</v>
      </c>
      <c r="O634" s="5">
        <f t="shared" ca="1" si="9"/>
        <v>34092</v>
      </c>
      <c r="P634" s="2" t="s">
        <v>17</v>
      </c>
    </row>
    <row r="635" spans="1:16" x14ac:dyDescent="0.25">
      <c r="A635">
        <v>11890</v>
      </c>
      <c r="B635" s="2" t="s">
        <v>31</v>
      </c>
      <c r="C635" s="2" t="s">
        <v>33</v>
      </c>
      <c r="D635" s="4">
        <v>70000</v>
      </c>
      <c r="E63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5">
        <v>5</v>
      </c>
      <c r="G635" s="2" t="s">
        <v>29</v>
      </c>
      <c r="H635" s="2" t="s">
        <v>20</v>
      </c>
      <c r="I635" t="s">
        <v>14</v>
      </c>
      <c r="J635">
        <v>1</v>
      </c>
      <c r="K635" t="s">
        <v>15</v>
      </c>
      <c r="L635" s="2" t="s">
        <v>30</v>
      </c>
      <c r="M635" s="4">
        <v>47</v>
      </c>
      <c r="N635" s="4" t="str">
        <f>IF(Bike_Data[[#This Row],[Age]]&gt;=54,"Old",IF(Bike_Data[[#This Row],[Age]]&lt;30,"Young Adult","Middle Age"))</f>
        <v>Middle Age</v>
      </c>
      <c r="O635" s="5">
        <f t="shared" ca="1" si="9"/>
        <v>26240</v>
      </c>
      <c r="P635" s="2" t="s">
        <v>17</v>
      </c>
    </row>
    <row r="636" spans="1:16" x14ac:dyDescent="0.25">
      <c r="A636">
        <v>21717</v>
      </c>
      <c r="B636" s="2" t="s">
        <v>31</v>
      </c>
      <c r="C636" s="2" t="s">
        <v>34</v>
      </c>
      <c r="D636" s="4">
        <v>40000</v>
      </c>
      <c r="E63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36">
        <v>2</v>
      </c>
      <c r="G636" s="2" t="s">
        <v>18</v>
      </c>
      <c r="H636" s="2" t="s">
        <v>19</v>
      </c>
      <c r="I636" t="s">
        <v>14</v>
      </c>
      <c r="J636">
        <v>1</v>
      </c>
      <c r="K636" t="s">
        <v>15</v>
      </c>
      <c r="L636" s="2" t="s">
        <v>30</v>
      </c>
      <c r="M636" s="4">
        <v>47</v>
      </c>
      <c r="N636" s="4" t="str">
        <f>IF(Bike_Data[[#This Row],[Age]]&gt;=54,"Old",IF(Bike_Data[[#This Row],[Age]]&lt;30,"Young Adult","Middle Age"))</f>
        <v>Middle Age</v>
      </c>
      <c r="O636" s="5">
        <f t="shared" ca="1" si="9"/>
        <v>29022</v>
      </c>
      <c r="P636" s="2" t="s">
        <v>17</v>
      </c>
    </row>
    <row r="637" spans="1:16" x14ac:dyDescent="0.25">
      <c r="A637">
        <v>13760</v>
      </c>
      <c r="B637" s="2" t="s">
        <v>31</v>
      </c>
      <c r="C637" s="2" t="s">
        <v>34</v>
      </c>
      <c r="D637" s="4">
        <v>60000</v>
      </c>
      <c r="E63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7">
        <v>4</v>
      </c>
      <c r="G637" s="2" t="s">
        <v>29</v>
      </c>
      <c r="H637" s="2" t="s">
        <v>13</v>
      </c>
      <c r="I637" t="s">
        <v>17</v>
      </c>
      <c r="J637">
        <v>0</v>
      </c>
      <c r="K637" t="s">
        <v>15</v>
      </c>
      <c r="L637" s="2" t="s">
        <v>30</v>
      </c>
      <c r="M637" s="4">
        <v>47</v>
      </c>
      <c r="N637" s="4" t="str">
        <f>IF(Bike_Data[[#This Row],[Age]]&gt;=54,"Old",IF(Bike_Data[[#This Row],[Age]]&lt;30,"Young Adult","Middle Age"))</f>
        <v>Middle Age</v>
      </c>
      <c r="O637" s="5">
        <f t="shared" ca="1" si="9"/>
        <v>27897</v>
      </c>
      <c r="P637" s="2" t="s">
        <v>17</v>
      </c>
    </row>
    <row r="638" spans="1:16" x14ac:dyDescent="0.25">
      <c r="A638">
        <v>16377</v>
      </c>
      <c r="B638" s="2" t="s">
        <v>32</v>
      </c>
      <c r="C638" s="2" t="s">
        <v>33</v>
      </c>
      <c r="D638" s="4">
        <v>80000</v>
      </c>
      <c r="E63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38">
        <v>4</v>
      </c>
      <c r="G638" s="2" t="s">
        <v>29</v>
      </c>
      <c r="H638" s="2" t="s">
        <v>13</v>
      </c>
      <c r="I638" t="s">
        <v>17</v>
      </c>
      <c r="J638">
        <v>0</v>
      </c>
      <c r="K638" t="s">
        <v>15</v>
      </c>
      <c r="L638" s="2" t="s">
        <v>30</v>
      </c>
      <c r="M638" s="4">
        <v>47</v>
      </c>
      <c r="N638" s="4" t="str">
        <f>IF(Bike_Data[[#This Row],[Age]]&gt;=54,"Old",IF(Bike_Data[[#This Row],[Age]]&lt;30,"Young Adult","Middle Age"))</f>
        <v>Middle Age</v>
      </c>
      <c r="O638" s="5">
        <f t="shared" ca="1" si="9"/>
        <v>33088</v>
      </c>
      <c r="P638" s="2" t="s">
        <v>17</v>
      </c>
    </row>
    <row r="639" spans="1:16" x14ac:dyDescent="0.25">
      <c r="A639">
        <v>28799</v>
      </c>
      <c r="B639" s="2" t="s">
        <v>32</v>
      </c>
      <c r="C639" s="2" t="s">
        <v>33</v>
      </c>
      <c r="D639" s="4">
        <v>40000</v>
      </c>
      <c r="E63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39">
        <v>2</v>
      </c>
      <c r="G639" s="2" t="s">
        <v>18</v>
      </c>
      <c r="H639" s="2" t="s">
        <v>19</v>
      </c>
      <c r="I639" t="s">
        <v>17</v>
      </c>
      <c r="J639">
        <v>1</v>
      </c>
      <c r="K639" t="s">
        <v>25</v>
      </c>
      <c r="L639" s="2" t="s">
        <v>30</v>
      </c>
      <c r="M639" s="4">
        <v>47</v>
      </c>
      <c r="N639" s="4" t="str">
        <f>IF(Bike_Data[[#This Row],[Age]]&gt;=54,"Old",IF(Bike_Data[[#This Row],[Age]]&lt;30,"Young Adult","Middle Age"))</f>
        <v>Middle Age</v>
      </c>
      <c r="O639" s="5">
        <f t="shared" ca="1" si="9"/>
        <v>33089</v>
      </c>
      <c r="P639" s="2" t="s">
        <v>14</v>
      </c>
    </row>
    <row r="640" spans="1:16" x14ac:dyDescent="0.25">
      <c r="A640">
        <v>12452</v>
      </c>
      <c r="B640" s="2" t="s">
        <v>31</v>
      </c>
      <c r="C640" s="2" t="s">
        <v>34</v>
      </c>
      <c r="D640" s="4">
        <v>60000</v>
      </c>
      <c r="E64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0">
        <v>4</v>
      </c>
      <c r="G640" s="2" t="s">
        <v>29</v>
      </c>
      <c r="H640" s="2" t="s">
        <v>13</v>
      </c>
      <c r="I640" t="s">
        <v>14</v>
      </c>
      <c r="J640">
        <v>0</v>
      </c>
      <c r="K640" t="s">
        <v>25</v>
      </c>
      <c r="L640" s="2" t="s">
        <v>30</v>
      </c>
      <c r="M640" s="4">
        <v>47</v>
      </c>
      <c r="N640" s="4" t="str">
        <f>IF(Bike_Data[[#This Row],[Age]]&gt;=54,"Old",IF(Bike_Data[[#This Row],[Age]]&lt;30,"Young Adult","Middle Age"))</f>
        <v>Middle Age</v>
      </c>
      <c r="O640" s="5">
        <f t="shared" ca="1" si="9"/>
        <v>35813</v>
      </c>
      <c r="P640" s="2" t="s">
        <v>14</v>
      </c>
    </row>
    <row r="641" spans="1:16" x14ac:dyDescent="0.25">
      <c r="A641">
        <v>21714</v>
      </c>
      <c r="B641" s="2" t="s">
        <v>32</v>
      </c>
      <c r="C641" s="2" t="s">
        <v>33</v>
      </c>
      <c r="D641" s="4">
        <v>80000</v>
      </c>
      <c r="E64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1">
        <v>5</v>
      </c>
      <c r="G641" s="2" t="s">
        <v>29</v>
      </c>
      <c r="H641" s="2" t="s">
        <v>13</v>
      </c>
      <c r="I641" t="s">
        <v>17</v>
      </c>
      <c r="J641">
        <v>0</v>
      </c>
      <c r="K641" t="s">
        <v>15</v>
      </c>
      <c r="L641" s="2" t="s">
        <v>30</v>
      </c>
      <c r="M641" s="4">
        <v>47</v>
      </c>
      <c r="N641" s="4" t="str">
        <f>IF(Bike_Data[[#This Row],[Age]]&gt;=54,"Old",IF(Bike_Data[[#This Row],[Age]]&lt;30,"Young Adult","Middle Age"))</f>
        <v>Middle Age</v>
      </c>
      <c r="O641" s="5">
        <f t="shared" ca="1" si="9"/>
        <v>33505</v>
      </c>
      <c r="P641" s="2" t="s">
        <v>17</v>
      </c>
    </row>
    <row r="642" spans="1:16" x14ac:dyDescent="0.25">
      <c r="A642">
        <v>14657</v>
      </c>
      <c r="B642" s="2" t="s">
        <v>31</v>
      </c>
      <c r="C642" s="2" t="s">
        <v>34</v>
      </c>
      <c r="D642" s="4">
        <v>80000</v>
      </c>
      <c r="E64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2">
        <v>1</v>
      </c>
      <c r="G642" s="2" t="s">
        <v>18</v>
      </c>
      <c r="H642" s="2" t="s">
        <v>13</v>
      </c>
      <c r="I642" t="s">
        <v>17</v>
      </c>
      <c r="J642">
        <v>1</v>
      </c>
      <c r="K642" t="s">
        <v>15</v>
      </c>
      <c r="L642" s="2" t="s">
        <v>30</v>
      </c>
      <c r="M642" s="4">
        <v>47</v>
      </c>
      <c r="N642" s="4" t="str">
        <f>IF(Bike_Data[[#This Row],[Age]]&gt;=54,"Old",IF(Bike_Data[[#This Row],[Age]]&lt;30,"Young Adult","Middle Age"))</f>
        <v>Middle Age</v>
      </c>
      <c r="O642" s="5">
        <f t="shared" ca="1" si="9"/>
        <v>28113</v>
      </c>
      <c r="P642" s="2" t="s">
        <v>14</v>
      </c>
    </row>
    <row r="643" spans="1:16" x14ac:dyDescent="0.25">
      <c r="A643">
        <v>11540</v>
      </c>
      <c r="B643" s="2" t="s">
        <v>32</v>
      </c>
      <c r="C643" s="2" t="s">
        <v>34</v>
      </c>
      <c r="D643" s="4">
        <v>60000</v>
      </c>
      <c r="E64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3">
        <v>4</v>
      </c>
      <c r="G643" s="2" t="s">
        <v>29</v>
      </c>
      <c r="H643" s="2" t="s">
        <v>13</v>
      </c>
      <c r="I643" t="s">
        <v>14</v>
      </c>
      <c r="J643">
        <v>0</v>
      </c>
      <c r="K643" t="s">
        <v>25</v>
      </c>
      <c r="L643" s="2" t="s">
        <v>30</v>
      </c>
      <c r="M643" s="4">
        <v>47</v>
      </c>
      <c r="N643" s="4" t="str">
        <f>IF(Bike_Data[[#This Row],[Age]]&gt;=54,"Old",IF(Bike_Data[[#This Row],[Age]]&lt;30,"Young Adult","Middle Age"))</f>
        <v>Middle Age</v>
      </c>
      <c r="O643" s="5">
        <f t="shared" ref="O643:O706" ca="1" si="10">RANDBETWEEN(DATE(1971,1,1), DATE(2003,12,31))</f>
        <v>26099</v>
      </c>
      <c r="P643" s="2" t="s">
        <v>14</v>
      </c>
    </row>
    <row r="644" spans="1:16" x14ac:dyDescent="0.25">
      <c r="A644">
        <v>11745</v>
      </c>
      <c r="B644" s="2" t="s">
        <v>31</v>
      </c>
      <c r="C644" s="2" t="s">
        <v>33</v>
      </c>
      <c r="D644" s="4">
        <v>60000</v>
      </c>
      <c r="E64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4">
        <v>1</v>
      </c>
      <c r="G644" s="2" t="s">
        <v>12</v>
      </c>
      <c r="H644" s="2" t="s">
        <v>20</v>
      </c>
      <c r="I644" t="s">
        <v>14</v>
      </c>
      <c r="J644">
        <v>1</v>
      </c>
      <c r="K644" t="s">
        <v>15</v>
      </c>
      <c r="L644" s="2" t="s">
        <v>30</v>
      </c>
      <c r="M644" s="4">
        <v>47</v>
      </c>
      <c r="N644" s="4" t="str">
        <f>IF(Bike_Data[[#This Row],[Age]]&gt;=54,"Old",IF(Bike_Data[[#This Row],[Age]]&lt;30,"Young Adult","Middle Age"))</f>
        <v>Middle Age</v>
      </c>
      <c r="O644" s="5">
        <f t="shared" ca="1" si="10"/>
        <v>28619</v>
      </c>
      <c r="P644" s="2" t="s">
        <v>14</v>
      </c>
    </row>
    <row r="645" spans="1:16" x14ac:dyDescent="0.25">
      <c r="A645">
        <v>21713</v>
      </c>
      <c r="B645" s="2" t="s">
        <v>32</v>
      </c>
      <c r="C645" s="2" t="s">
        <v>34</v>
      </c>
      <c r="D645" s="4">
        <v>80000</v>
      </c>
      <c r="E64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5">
        <v>5</v>
      </c>
      <c r="G645" s="2" t="s">
        <v>29</v>
      </c>
      <c r="H645" s="2" t="s">
        <v>13</v>
      </c>
      <c r="I645" t="s">
        <v>17</v>
      </c>
      <c r="J645">
        <v>0</v>
      </c>
      <c r="K645" t="s">
        <v>15</v>
      </c>
      <c r="L645" s="2" t="s">
        <v>30</v>
      </c>
      <c r="M645" s="4">
        <v>47</v>
      </c>
      <c r="N645" s="4" t="str">
        <f>IF(Bike_Data[[#This Row],[Age]]&gt;=54,"Old",IF(Bike_Data[[#This Row],[Age]]&lt;30,"Young Adult","Middle Age"))</f>
        <v>Middle Age</v>
      </c>
      <c r="O645" s="5">
        <f t="shared" ca="1" si="10"/>
        <v>36928</v>
      </c>
      <c r="P645" s="2" t="s">
        <v>17</v>
      </c>
    </row>
    <row r="646" spans="1:16" x14ac:dyDescent="0.25">
      <c r="A646">
        <v>19543</v>
      </c>
      <c r="B646" s="2" t="s">
        <v>31</v>
      </c>
      <c r="C646" s="2" t="s">
        <v>34</v>
      </c>
      <c r="D646" s="4">
        <v>70000</v>
      </c>
      <c r="E64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6">
        <v>5</v>
      </c>
      <c r="G646" s="2" t="s">
        <v>29</v>
      </c>
      <c r="H646" s="2" t="s">
        <v>20</v>
      </c>
      <c r="I646" t="s">
        <v>17</v>
      </c>
      <c r="J646">
        <v>3</v>
      </c>
      <c r="K646" t="s">
        <v>37</v>
      </c>
      <c r="L646" s="2" t="s">
        <v>30</v>
      </c>
      <c r="M646" s="4">
        <v>47</v>
      </c>
      <c r="N646" s="4" t="str">
        <f>IF(Bike_Data[[#This Row],[Age]]&gt;=54,"Old",IF(Bike_Data[[#This Row],[Age]]&lt;30,"Young Adult","Middle Age"))</f>
        <v>Middle Age</v>
      </c>
      <c r="O646" s="5">
        <f t="shared" ca="1" si="10"/>
        <v>32553</v>
      </c>
      <c r="P646" s="2" t="s">
        <v>17</v>
      </c>
    </row>
    <row r="647" spans="1:16" x14ac:dyDescent="0.25">
      <c r="A647">
        <v>21940</v>
      </c>
      <c r="B647" s="2" t="s">
        <v>31</v>
      </c>
      <c r="C647" s="2" t="s">
        <v>34</v>
      </c>
      <c r="D647" s="4">
        <v>90000</v>
      </c>
      <c r="E64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7">
        <v>5</v>
      </c>
      <c r="G647" s="2" t="s">
        <v>29</v>
      </c>
      <c r="H647" s="2" t="s">
        <v>20</v>
      </c>
      <c r="I647" t="s">
        <v>14</v>
      </c>
      <c r="J647">
        <v>0</v>
      </c>
      <c r="K647" t="s">
        <v>15</v>
      </c>
      <c r="L647" s="2" t="s">
        <v>30</v>
      </c>
      <c r="M647" s="4">
        <v>47</v>
      </c>
      <c r="N647" s="4" t="str">
        <f>IF(Bike_Data[[#This Row],[Age]]&gt;=54,"Old",IF(Bike_Data[[#This Row],[Age]]&lt;30,"Young Adult","Middle Age"))</f>
        <v>Middle Age</v>
      </c>
      <c r="O647" s="5">
        <f t="shared" ca="1" si="10"/>
        <v>26393</v>
      </c>
      <c r="P647" s="2" t="s">
        <v>14</v>
      </c>
    </row>
    <row r="648" spans="1:16" x14ac:dyDescent="0.25">
      <c r="A648">
        <v>11734</v>
      </c>
      <c r="B648" s="2" t="s">
        <v>31</v>
      </c>
      <c r="C648" s="2" t="s">
        <v>34</v>
      </c>
      <c r="D648" s="4">
        <v>60000</v>
      </c>
      <c r="E64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48">
        <v>1</v>
      </c>
      <c r="G648" s="2" t="s">
        <v>18</v>
      </c>
      <c r="H648" s="2" t="s">
        <v>13</v>
      </c>
      <c r="I648" t="s">
        <v>17</v>
      </c>
      <c r="J648">
        <v>1</v>
      </c>
      <c r="K648" t="s">
        <v>15</v>
      </c>
      <c r="L648" s="2" t="s">
        <v>30</v>
      </c>
      <c r="M648" s="4">
        <v>47</v>
      </c>
      <c r="N648" s="4" t="str">
        <f>IF(Bike_Data[[#This Row],[Age]]&gt;=54,"Old",IF(Bike_Data[[#This Row],[Age]]&lt;30,"Young Adult","Middle Age"))</f>
        <v>Middle Age</v>
      </c>
      <c r="O648" s="5">
        <f t="shared" ca="1" si="10"/>
        <v>31866</v>
      </c>
      <c r="P648" s="2" t="s">
        <v>17</v>
      </c>
    </row>
    <row r="649" spans="1:16" x14ac:dyDescent="0.25">
      <c r="A649">
        <v>28625</v>
      </c>
      <c r="B649" s="2" t="s">
        <v>32</v>
      </c>
      <c r="C649" s="2" t="s">
        <v>34</v>
      </c>
      <c r="D649" s="4">
        <v>40000</v>
      </c>
      <c r="E64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49">
        <v>2</v>
      </c>
      <c r="G649" s="2" t="s">
        <v>18</v>
      </c>
      <c r="H649" s="2" t="s">
        <v>19</v>
      </c>
      <c r="I649" t="s">
        <v>17</v>
      </c>
      <c r="J649">
        <v>1</v>
      </c>
      <c r="K649" t="s">
        <v>25</v>
      </c>
      <c r="L649" s="2" t="s">
        <v>30</v>
      </c>
      <c r="M649" s="4">
        <v>47</v>
      </c>
      <c r="N649" s="4" t="str">
        <f>IF(Bike_Data[[#This Row],[Age]]&gt;=54,"Old",IF(Bike_Data[[#This Row],[Age]]&lt;30,"Young Adult","Middle Age"))</f>
        <v>Middle Age</v>
      </c>
      <c r="O649" s="5">
        <f t="shared" ca="1" si="10"/>
        <v>33868</v>
      </c>
      <c r="P649" s="2" t="s">
        <v>14</v>
      </c>
    </row>
    <row r="650" spans="1:16" x14ac:dyDescent="0.25">
      <c r="A650">
        <v>17185</v>
      </c>
      <c r="B650" s="2" t="s">
        <v>31</v>
      </c>
      <c r="C650" s="2" t="s">
        <v>33</v>
      </c>
      <c r="D650" s="4">
        <v>170000</v>
      </c>
      <c r="E65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50">
        <v>4</v>
      </c>
      <c r="G650" s="2" t="s">
        <v>18</v>
      </c>
      <c r="H650" s="2" t="s">
        <v>20</v>
      </c>
      <c r="I650" t="s">
        <v>17</v>
      </c>
      <c r="J650">
        <v>3</v>
      </c>
      <c r="K650" t="s">
        <v>22</v>
      </c>
      <c r="L650" s="2" t="s">
        <v>16</v>
      </c>
      <c r="M650" s="4">
        <v>48</v>
      </c>
      <c r="N650" s="4" t="str">
        <f>IF(Bike_Data[[#This Row],[Age]]&gt;=54,"Old",IF(Bike_Data[[#This Row],[Age]]&lt;30,"Young Adult","Middle Age"))</f>
        <v>Middle Age</v>
      </c>
      <c r="O650" s="5">
        <f t="shared" ca="1" si="10"/>
        <v>36727</v>
      </c>
      <c r="P650" s="2" t="s">
        <v>14</v>
      </c>
    </row>
    <row r="651" spans="1:16" x14ac:dyDescent="0.25">
      <c r="A651">
        <v>15922</v>
      </c>
      <c r="B651" s="2" t="s">
        <v>31</v>
      </c>
      <c r="C651" s="2" t="s">
        <v>34</v>
      </c>
      <c r="D651" s="4">
        <v>150000</v>
      </c>
      <c r="E65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51">
        <v>2</v>
      </c>
      <c r="G651" s="2" t="s">
        <v>26</v>
      </c>
      <c r="H651" s="2" t="s">
        <v>20</v>
      </c>
      <c r="I651" t="s">
        <v>14</v>
      </c>
      <c r="J651">
        <v>4</v>
      </c>
      <c r="K651" t="s">
        <v>15</v>
      </c>
      <c r="L651" s="2" t="s">
        <v>16</v>
      </c>
      <c r="M651" s="4">
        <v>48</v>
      </c>
      <c r="N651" s="4" t="str">
        <f>IF(Bike_Data[[#This Row],[Age]]&gt;=54,"Old",IF(Bike_Data[[#This Row],[Age]]&lt;30,"Young Adult","Middle Age"))</f>
        <v>Middle Age</v>
      </c>
      <c r="O651" s="5">
        <f t="shared" ca="1" si="10"/>
        <v>28232</v>
      </c>
      <c r="P651" s="2" t="s">
        <v>17</v>
      </c>
    </row>
    <row r="652" spans="1:16" x14ac:dyDescent="0.25">
      <c r="A652">
        <v>29117</v>
      </c>
      <c r="B652" s="2" t="s">
        <v>32</v>
      </c>
      <c r="C652" s="2" t="s">
        <v>34</v>
      </c>
      <c r="D652" s="4">
        <v>100000</v>
      </c>
      <c r="E65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52">
        <v>1</v>
      </c>
      <c r="G652" s="2" t="s">
        <v>12</v>
      </c>
      <c r="H652" s="2" t="s">
        <v>27</v>
      </c>
      <c r="I652" t="s">
        <v>17</v>
      </c>
      <c r="J652">
        <v>3</v>
      </c>
      <c r="K652" t="s">
        <v>15</v>
      </c>
      <c r="L652" s="2" t="s">
        <v>23</v>
      </c>
      <c r="M652" s="4">
        <v>48</v>
      </c>
      <c r="N652" s="4" t="str">
        <f>IF(Bike_Data[[#This Row],[Age]]&gt;=54,"Old",IF(Bike_Data[[#This Row],[Age]]&lt;30,"Young Adult","Middle Age"))</f>
        <v>Middle Age</v>
      </c>
      <c r="O652" s="5">
        <f t="shared" ca="1" si="10"/>
        <v>35735</v>
      </c>
      <c r="P652" s="2" t="s">
        <v>17</v>
      </c>
    </row>
    <row r="653" spans="1:16" x14ac:dyDescent="0.25">
      <c r="A653">
        <v>20797</v>
      </c>
      <c r="B653" s="2" t="s">
        <v>31</v>
      </c>
      <c r="C653" s="2" t="s">
        <v>33</v>
      </c>
      <c r="D653" s="4">
        <v>10000</v>
      </c>
      <c r="E65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53">
        <v>1</v>
      </c>
      <c r="G653" s="2" t="s">
        <v>12</v>
      </c>
      <c r="H653" s="2" t="s">
        <v>24</v>
      </c>
      <c r="I653" t="s">
        <v>14</v>
      </c>
      <c r="J653">
        <v>0</v>
      </c>
      <c r="K653" t="s">
        <v>15</v>
      </c>
      <c r="L653" s="2" t="s">
        <v>16</v>
      </c>
      <c r="M653" s="4">
        <v>48</v>
      </c>
      <c r="N653" s="4" t="str">
        <f>IF(Bike_Data[[#This Row],[Age]]&gt;=54,"Old",IF(Bike_Data[[#This Row],[Age]]&lt;30,"Young Adult","Middle Age"))</f>
        <v>Middle Age</v>
      </c>
      <c r="O653" s="5">
        <f t="shared" ca="1" si="10"/>
        <v>31032</v>
      </c>
      <c r="P653" s="2" t="s">
        <v>17</v>
      </c>
    </row>
    <row r="654" spans="1:16" x14ac:dyDescent="0.25">
      <c r="A654">
        <v>27304</v>
      </c>
      <c r="B654" s="2" t="s">
        <v>32</v>
      </c>
      <c r="C654" s="2" t="s">
        <v>33</v>
      </c>
      <c r="D654" s="4">
        <v>110000</v>
      </c>
      <c r="E65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54">
        <v>2</v>
      </c>
      <c r="G654" s="2" t="s">
        <v>18</v>
      </c>
      <c r="H654" s="2" t="s">
        <v>20</v>
      </c>
      <c r="I654" t="s">
        <v>17</v>
      </c>
      <c r="J654">
        <v>3</v>
      </c>
      <c r="K654" t="s">
        <v>22</v>
      </c>
      <c r="L654" s="2" t="s">
        <v>16</v>
      </c>
      <c r="M654" s="4">
        <v>48</v>
      </c>
      <c r="N654" s="4" t="str">
        <f>IF(Bike_Data[[#This Row],[Age]]&gt;=54,"Old",IF(Bike_Data[[#This Row],[Age]]&lt;30,"Young Adult","Middle Age"))</f>
        <v>Middle Age</v>
      </c>
      <c r="O654" s="5">
        <f t="shared" ca="1" si="10"/>
        <v>36994</v>
      </c>
      <c r="P654" s="2" t="s">
        <v>17</v>
      </c>
    </row>
    <row r="655" spans="1:16" x14ac:dyDescent="0.25">
      <c r="A655">
        <v>16043</v>
      </c>
      <c r="B655" s="2" t="s">
        <v>32</v>
      </c>
      <c r="C655" s="2" t="s">
        <v>34</v>
      </c>
      <c r="D655" s="4">
        <v>10000</v>
      </c>
      <c r="E6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55">
        <v>1</v>
      </c>
      <c r="G655" s="2" t="s">
        <v>12</v>
      </c>
      <c r="H655" s="2" t="s">
        <v>24</v>
      </c>
      <c r="I655" t="s">
        <v>14</v>
      </c>
      <c r="J655">
        <v>0</v>
      </c>
      <c r="K655" t="s">
        <v>15</v>
      </c>
      <c r="L655" s="2" t="s">
        <v>16</v>
      </c>
      <c r="M655" s="4">
        <v>48</v>
      </c>
      <c r="N655" s="4" t="str">
        <f>IF(Bike_Data[[#This Row],[Age]]&gt;=54,"Old",IF(Bike_Data[[#This Row],[Age]]&lt;30,"Young Adult","Middle Age"))</f>
        <v>Middle Age</v>
      </c>
      <c r="O655" s="5">
        <f t="shared" ca="1" si="10"/>
        <v>29862</v>
      </c>
      <c r="P655" s="2" t="s">
        <v>17</v>
      </c>
    </row>
    <row r="656" spans="1:16" x14ac:dyDescent="0.25">
      <c r="A656">
        <v>18494</v>
      </c>
      <c r="B656" s="2" t="s">
        <v>31</v>
      </c>
      <c r="C656" s="2" t="s">
        <v>34</v>
      </c>
      <c r="D656" s="4">
        <v>110000</v>
      </c>
      <c r="E65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56">
        <v>5</v>
      </c>
      <c r="G656" s="2" t="s">
        <v>12</v>
      </c>
      <c r="H656" s="2" t="s">
        <v>27</v>
      </c>
      <c r="I656" t="s">
        <v>14</v>
      </c>
      <c r="J656">
        <v>4</v>
      </c>
      <c r="K656" t="s">
        <v>21</v>
      </c>
      <c r="L656" s="2" t="s">
        <v>23</v>
      </c>
      <c r="M656" s="4">
        <v>48</v>
      </c>
      <c r="N656" s="4" t="str">
        <f>IF(Bike_Data[[#This Row],[Age]]&gt;=54,"Old",IF(Bike_Data[[#This Row],[Age]]&lt;30,"Young Adult","Middle Age"))</f>
        <v>Middle Age</v>
      </c>
      <c r="O656" s="5">
        <f t="shared" ca="1" si="10"/>
        <v>29807</v>
      </c>
      <c r="P656" s="2" t="s">
        <v>14</v>
      </c>
    </row>
    <row r="657" spans="1:16" x14ac:dyDescent="0.25">
      <c r="A657">
        <v>29120</v>
      </c>
      <c r="B657" s="2" t="s">
        <v>32</v>
      </c>
      <c r="C657" s="2" t="s">
        <v>33</v>
      </c>
      <c r="D657" s="4">
        <v>100000</v>
      </c>
      <c r="E65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57">
        <v>1</v>
      </c>
      <c r="G657" s="2" t="s">
        <v>12</v>
      </c>
      <c r="H657" s="2" t="s">
        <v>27</v>
      </c>
      <c r="I657" t="s">
        <v>14</v>
      </c>
      <c r="J657">
        <v>4</v>
      </c>
      <c r="K657" t="s">
        <v>21</v>
      </c>
      <c r="L657" s="2" t="s">
        <v>23</v>
      </c>
      <c r="M657" s="4">
        <v>48</v>
      </c>
      <c r="N657" s="4" t="str">
        <f>IF(Bike_Data[[#This Row],[Age]]&gt;=54,"Old",IF(Bike_Data[[#This Row],[Age]]&lt;30,"Young Adult","Middle Age"))</f>
        <v>Middle Age</v>
      </c>
      <c r="O657" s="5">
        <f t="shared" ca="1" si="10"/>
        <v>27362</v>
      </c>
      <c r="P657" s="2" t="s">
        <v>17</v>
      </c>
    </row>
    <row r="658" spans="1:16" x14ac:dyDescent="0.25">
      <c r="A658">
        <v>15758</v>
      </c>
      <c r="B658" s="2" t="s">
        <v>31</v>
      </c>
      <c r="C658" s="2" t="s">
        <v>34</v>
      </c>
      <c r="D658" s="4">
        <v>130000</v>
      </c>
      <c r="E658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58">
        <v>0</v>
      </c>
      <c r="G658" s="2" t="s">
        <v>29</v>
      </c>
      <c r="H658" s="2" t="s">
        <v>27</v>
      </c>
      <c r="I658" t="s">
        <v>14</v>
      </c>
      <c r="J658">
        <v>0</v>
      </c>
      <c r="K658" t="s">
        <v>22</v>
      </c>
      <c r="L658" s="2" t="s">
        <v>23</v>
      </c>
      <c r="M658" s="4">
        <v>48</v>
      </c>
      <c r="N658" s="4" t="str">
        <f>IF(Bike_Data[[#This Row],[Age]]&gt;=54,"Old",IF(Bike_Data[[#This Row],[Age]]&lt;30,"Young Adult","Middle Age"))</f>
        <v>Middle Age</v>
      </c>
      <c r="O658" s="5">
        <f t="shared" ca="1" si="10"/>
        <v>37169</v>
      </c>
      <c r="P658" s="2" t="s">
        <v>17</v>
      </c>
    </row>
    <row r="659" spans="1:16" x14ac:dyDescent="0.25">
      <c r="A659">
        <v>13082</v>
      </c>
      <c r="B659" s="2" t="s">
        <v>32</v>
      </c>
      <c r="C659" s="2" t="s">
        <v>34</v>
      </c>
      <c r="D659" s="4">
        <v>130000</v>
      </c>
      <c r="E65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59">
        <v>0</v>
      </c>
      <c r="G659" s="2" t="s">
        <v>29</v>
      </c>
      <c r="H659" s="2" t="s">
        <v>27</v>
      </c>
      <c r="I659" t="s">
        <v>14</v>
      </c>
      <c r="J659">
        <v>0</v>
      </c>
      <c r="K659" t="s">
        <v>21</v>
      </c>
      <c r="L659" s="2" t="s">
        <v>23</v>
      </c>
      <c r="M659" s="4">
        <v>48</v>
      </c>
      <c r="N659" s="4" t="str">
        <f>IF(Bike_Data[[#This Row],[Age]]&gt;=54,"Old",IF(Bike_Data[[#This Row],[Age]]&lt;30,"Young Adult","Middle Age"))</f>
        <v>Middle Age</v>
      </c>
      <c r="O659" s="5">
        <f t="shared" ca="1" si="10"/>
        <v>31708</v>
      </c>
      <c r="P659" s="2" t="s">
        <v>14</v>
      </c>
    </row>
    <row r="660" spans="1:16" x14ac:dyDescent="0.25">
      <c r="A660">
        <v>22204</v>
      </c>
      <c r="B660" s="2" t="s">
        <v>31</v>
      </c>
      <c r="C660" s="2" t="s">
        <v>34</v>
      </c>
      <c r="D660" s="4">
        <v>110000</v>
      </c>
      <c r="E66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60">
        <v>4</v>
      </c>
      <c r="G660" s="2" t="s">
        <v>12</v>
      </c>
      <c r="H660" s="2" t="s">
        <v>27</v>
      </c>
      <c r="I660" t="s">
        <v>14</v>
      </c>
      <c r="J660">
        <v>3</v>
      </c>
      <c r="K660" t="s">
        <v>21</v>
      </c>
      <c r="L660" s="2" t="s">
        <v>23</v>
      </c>
      <c r="M660" s="4">
        <v>48</v>
      </c>
      <c r="N660" s="4" t="str">
        <f>IF(Bike_Data[[#This Row],[Age]]&gt;=54,"Old",IF(Bike_Data[[#This Row],[Age]]&lt;30,"Young Adult","Middle Age"))</f>
        <v>Middle Age</v>
      </c>
      <c r="O660" s="5">
        <f t="shared" ca="1" si="10"/>
        <v>33189</v>
      </c>
      <c r="P660" s="2" t="s">
        <v>17</v>
      </c>
    </row>
    <row r="661" spans="1:16" x14ac:dyDescent="0.25">
      <c r="A661">
        <v>14278</v>
      </c>
      <c r="B661" s="2" t="s">
        <v>31</v>
      </c>
      <c r="C661" s="2" t="s">
        <v>33</v>
      </c>
      <c r="D661" s="4">
        <v>130000</v>
      </c>
      <c r="E66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661">
        <v>0</v>
      </c>
      <c r="G661" s="2" t="s">
        <v>29</v>
      </c>
      <c r="H661" s="2" t="s">
        <v>27</v>
      </c>
      <c r="I661" t="s">
        <v>14</v>
      </c>
      <c r="J661">
        <v>1</v>
      </c>
      <c r="K661" t="s">
        <v>37</v>
      </c>
      <c r="L661" s="2" t="s">
        <v>23</v>
      </c>
      <c r="M661" s="4">
        <v>48</v>
      </c>
      <c r="N661" s="4" t="str">
        <f>IF(Bike_Data[[#This Row],[Age]]&gt;=54,"Old",IF(Bike_Data[[#This Row],[Age]]&lt;30,"Young Adult","Middle Age"))</f>
        <v>Middle Age</v>
      </c>
      <c r="O661" s="5">
        <f t="shared" ca="1" si="10"/>
        <v>30089</v>
      </c>
      <c r="P661" s="2" t="s">
        <v>17</v>
      </c>
    </row>
    <row r="662" spans="1:16" x14ac:dyDescent="0.25">
      <c r="A662">
        <v>25065</v>
      </c>
      <c r="B662" s="2" t="s">
        <v>31</v>
      </c>
      <c r="C662" s="2" t="s">
        <v>34</v>
      </c>
      <c r="D662" s="4">
        <v>70000</v>
      </c>
      <c r="E66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62">
        <v>2</v>
      </c>
      <c r="G662" s="2" t="s">
        <v>28</v>
      </c>
      <c r="H662" s="2" t="s">
        <v>13</v>
      </c>
      <c r="I662" t="s">
        <v>14</v>
      </c>
      <c r="J662">
        <v>2</v>
      </c>
      <c r="K662" t="s">
        <v>22</v>
      </c>
      <c r="L662" s="2" t="s">
        <v>30</v>
      </c>
      <c r="M662" s="4">
        <v>48</v>
      </c>
      <c r="N662" s="4" t="str">
        <f>IF(Bike_Data[[#This Row],[Age]]&gt;=54,"Old",IF(Bike_Data[[#This Row],[Age]]&lt;30,"Young Adult","Middle Age"))</f>
        <v>Middle Age</v>
      </c>
      <c r="O662" s="5">
        <f t="shared" ca="1" si="10"/>
        <v>26115</v>
      </c>
      <c r="P662" s="2" t="s">
        <v>17</v>
      </c>
    </row>
    <row r="663" spans="1:16" x14ac:dyDescent="0.25">
      <c r="A663">
        <v>26012</v>
      </c>
      <c r="B663" s="2" t="s">
        <v>31</v>
      </c>
      <c r="C663" s="2" t="s">
        <v>34</v>
      </c>
      <c r="D663" s="4">
        <v>80000</v>
      </c>
      <c r="E66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63">
        <v>1</v>
      </c>
      <c r="G663" s="2" t="s">
        <v>18</v>
      </c>
      <c r="H663" s="2" t="s">
        <v>13</v>
      </c>
      <c r="I663" t="s">
        <v>14</v>
      </c>
      <c r="J663">
        <v>1</v>
      </c>
      <c r="K663" t="s">
        <v>21</v>
      </c>
      <c r="L663" s="2" t="s">
        <v>30</v>
      </c>
      <c r="M663" s="4">
        <v>48</v>
      </c>
      <c r="N663" s="4" t="str">
        <f>IF(Bike_Data[[#This Row],[Age]]&gt;=54,"Old",IF(Bike_Data[[#This Row],[Age]]&lt;30,"Young Adult","Middle Age"))</f>
        <v>Middle Age</v>
      </c>
      <c r="O663" s="5">
        <f t="shared" ca="1" si="10"/>
        <v>27659</v>
      </c>
      <c r="P663" s="2" t="s">
        <v>14</v>
      </c>
    </row>
    <row r="664" spans="1:16" x14ac:dyDescent="0.25">
      <c r="A664">
        <v>24357</v>
      </c>
      <c r="B664" s="2" t="s">
        <v>31</v>
      </c>
      <c r="C664" s="2" t="s">
        <v>34</v>
      </c>
      <c r="D664" s="4">
        <v>80000</v>
      </c>
      <c r="E6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64">
        <v>3</v>
      </c>
      <c r="G664" s="2" t="s">
        <v>12</v>
      </c>
      <c r="H664" s="2" t="s">
        <v>20</v>
      </c>
      <c r="I664" t="s">
        <v>14</v>
      </c>
      <c r="J664">
        <v>1</v>
      </c>
      <c r="K664" t="s">
        <v>21</v>
      </c>
      <c r="L664" s="2" t="s">
        <v>30</v>
      </c>
      <c r="M664" s="4">
        <v>48</v>
      </c>
      <c r="N664" s="4" t="str">
        <f>IF(Bike_Data[[#This Row],[Age]]&gt;=54,"Old",IF(Bike_Data[[#This Row],[Age]]&lt;30,"Young Adult","Middle Age"))</f>
        <v>Middle Age</v>
      </c>
      <c r="O664" s="5">
        <f t="shared" ca="1" si="10"/>
        <v>30032</v>
      </c>
      <c r="P664" s="2" t="s">
        <v>14</v>
      </c>
    </row>
    <row r="665" spans="1:16" x14ac:dyDescent="0.25">
      <c r="A665">
        <v>18674</v>
      </c>
      <c r="B665" s="2" t="s">
        <v>32</v>
      </c>
      <c r="C665" s="2" t="s">
        <v>33</v>
      </c>
      <c r="D665" s="4">
        <v>80000</v>
      </c>
      <c r="E66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65">
        <v>4</v>
      </c>
      <c r="G665" s="2" t="s">
        <v>29</v>
      </c>
      <c r="H665" s="2" t="s">
        <v>13</v>
      </c>
      <c r="I665" t="s">
        <v>17</v>
      </c>
      <c r="J665">
        <v>0</v>
      </c>
      <c r="K665" t="s">
        <v>15</v>
      </c>
      <c r="L665" s="2" t="s">
        <v>30</v>
      </c>
      <c r="M665" s="4">
        <v>48</v>
      </c>
      <c r="N665" s="4" t="str">
        <f>IF(Bike_Data[[#This Row],[Age]]&gt;=54,"Old",IF(Bike_Data[[#This Row],[Age]]&lt;30,"Young Adult","Middle Age"))</f>
        <v>Middle Age</v>
      </c>
      <c r="O665" s="5">
        <f t="shared" ca="1" si="10"/>
        <v>27158</v>
      </c>
      <c r="P665" s="2" t="s">
        <v>17</v>
      </c>
    </row>
    <row r="666" spans="1:16" x14ac:dyDescent="0.25">
      <c r="A666">
        <v>27218</v>
      </c>
      <c r="B666" s="2" t="s">
        <v>31</v>
      </c>
      <c r="C666" s="2" t="s">
        <v>33</v>
      </c>
      <c r="D666" s="4">
        <v>20000</v>
      </c>
      <c r="E6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66">
        <v>2</v>
      </c>
      <c r="G666" s="2" t="s">
        <v>28</v>
      </c>
      <c r="H666" s="2" t="s">
        <v>19</v>
      </c>
      <c r="I666" t="s">
        <v>17</v>
      </c>
      <c r="J666">
        <v>0</v>
      </c>
      <c r="K666" t="s">
        <v>15</v>
      </c>
      <c r="L666" s="2" t="s">
        <v>30</v>
      </c>
      <c r="M666" s="4">
        <v>48</v>
      </c>
      <c r="N666" s="4" t="str">
        <f>IF(Bike_Data[[#This Row],[Age]]&gt;=54,"Old",IF(Bike_Data[[#This Row],[Age]]&lt;30,"Young Adult","Middle Age"))</f>
        <v>Middle Age</v>
      </c>
      <c r="O666" s="5">
        <f t="shared" ca="1" si="10"/>
        <v>32024</v>
      </c>
      <c r="P666" s="2" t="s">
        <v>17</v>
      </c>
    </row>
    <row r="667" spans="1:16" x14ac:dyDescent="0.25">
      <c r="A667">
        <v>14754</v>
      </c>
      <c r="B667" s="2" t="s">
        <v>31</v>
      </c>
      <c r="C667" s="2" t="s">
        <v>34</v>
      </c>
      <c r="D667" s="4">
        <v>40000</v>
      </c>
      <c r="E6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67">
        <v>1</v>
      </c>
      <c r="G667" s="2" t="s">
        <v>18</v>
      </c>
      <c r="H667" s="2" t="s">
        <v>19</v>
      </c>
      <c r="I667" t="s">
        <v>14</v>
      </c>
      <c r="J667">
        <v>1</v>
      </c>
      <c r="K667" t="s">
        <v>25</v>
      </c>
      <c r="L667" s="2" t="s">
        <v>30</v>
      </c>
      <c r="M667" s="4">
        <v>48</v>
      </c>
      <c r="N667" s="4" t="str">
        <f>IF(Bike_Data[[#This Row],[Age]]&gt;=54,"Old",IF(Bike_Data[[#This Row],[Age]]&lt;30,"Young Adult","Middle Age"))</f>
        <v>Middle Age</v>
      </c>
      <c r="O667" s="5">
        <f t="shared" ca="1" si="10"/>
        <v>30214</v>
      </c>
      <c r="P667" s="2" t="s">
        <v>14</v>
      </c>
    </row>
    <row r="668" spans="1:16" x14ac:dyDescent="0.25">
      <c r="A668">
        <v>13754</v>
      </c>
      <c r="B668" s="2" t="s">
        <v>32</v>
      </c>
      <c r="C668" s="2" t="s">
        <v>33</v>
      </c>
      <c r="D668" s="4">
        <v>80000</v>
      </c>
      <c r="E66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68">
        <v>4</v>
      </c>
      <c r="G668" s="2" t="s">
        <v>29</v>
      </c>
      <c r="H668" s="2" t="s">
        <v>13</v>
      </c>
      <c r="I668" t="s">
        <v>14</v>
      </c>
      <c r="J668">
        <v>0</v>
      </c>
      <c r="K668" t="s">
        <v>25</v>
      </c>
      <c r="L668" s="2" t="s">
        <v>30</v>
      </c>
      <c r="M668" s="4">
        <v>48</v>
      </c>
      <c r="N668" s="4" t="str">
        <f>IF(Bike_Data[[#This Row],[Age]]&gt;=54,"Old",IF(Bike_Data[[#This Row],[Age]]&lt;30,"Young Adult","Middle Age"))</f>
        <v>Middle Age</v>
      </c>
      <c r="O668" s="5">
        <f t="shared" ca="1" si="10"/>
        <v>35234</v>
      </c>
      <c r="P668" s="2" t="s">
        <v>17</v>
      </c>
    </row>
    <row r="669" spans="1:16" x14ac:dyDescent="0.25">
      <c r="A669">
        <v>19223</v>
      </c>
      <c r="B669" s="2" t="s">
        <v>31</v>
      </c>
      <c r="C669" s="2" t="s">
        <v>33</v>
      </c>
      <c r="D669" s="4">
        <v>30000</v>
      </c>
      <c r="E66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69">
        <v>2</v>
      </c>
      <c r="G669" s="2" t="s">
        <v>26</v>
      </c>
      <c r="H669" s="2" t="s">
        <v>13</v>
      </c>
      <c r="I669" t="s">
        <v>14</v>
      </c>
      <c r="J669">
        <v>2</v>
      </c>
      <c r="K669" t="s">
        <v>25</v>
      </c>
      <c r="L669" s="2" t="s">
        <v>30</v>
      </c>
      <c r="M669" s="4">
        <v>48</v>
      </c>
      <c r="N669" s="4" t="str">
        <f>IF(Bike_Data[[#This Row],[Age]]&gt;=54,"Old",IF(Bike_Data[[#This Row],[Age]]&lt;30,"Young Adult","Middle Age"))</f>
        <v>Middle Age</v>
      </c>
      <c r="O669" s="5">
        <f t="shared" ca="1" si="10"/>
        <v>32274</v>
      </c>
      <c r="P669" s="2" t="s">
        <v>17</v>
      </c>
    </row>
    <row r="670" spans="1:16" x14ac:dyDescent="0.25">
      <c r="A670">
        <v>11886</v>
      </c>
      <c r="B670" s="2" t="s">
        <v>31</v>
      </c>
      <c r="C670" s="2" t="s">
        <v>33</v>
      </c>
      <c r="D670" s="4">
        <v>60000</v>
      </c>
      <c r="E67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0">
        <v>3</v>
      </c>
      <c r="G670" s="2" t="s">
        <v>12</v>
      </c>
      <c r="H670" s="2" t="s">
        <v>20</v>
      </c>
      <c r="I670" t="s">
        <v>14</v>
      </c>
      <c r="J670">
        <v>1</v>
      </c>
      <c r="K670" t="s">
        <v>15</v>
      </c>
      <c r="L670" s="2" t="s">
        <v>30</v>
      </c>
      <c r="M670" s="4">
        <v>48</v>
      </c>
      <c r="N670" s="4" t="str">
        <f>IF(Bike_Data[[#This Row],[Age]]&gt;=54,"Old",IF(Bike_Data[[#This Row],[Age]]&lt;30,"Young Adult","Middle Age"))</f>
        <v>Middle Age</v>
      </c>
      <c r="O670" s="5">
        <f t="shared" ca="1" si="10"/>
        <v>29713</v>
      </c>
      <c r="P670" s="2" t="s">
        <v>14</v>
      </c>
    </row>
    <row r="671" spans="1:16" x14ac:dyDescent="0.25">
      <c r="A671">
        <v>14913</v>
      </c>
      <c r="B671" s="2" t="s">
        <v>31</v>
      </c>
      <c r="C671" s="2" t="s">
        <v>33</v>
      </c>
      <c r="D671" s="4">
        <v>40000</v>
      </c>
      <c r="E67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71">
        <v>1</v>
      </c>
      <c r="G671" s="2" t="s">
        <v>18</v>
      </c>
      <c r="H671" s="2" t="s">
        <v>19</v>
      </c>
      <c r="I671" t="s">
        <v>14</v>
      </c>
      <c r="J671">
        <v>1</v>
      </c>
      <c r="K671" t="s">
        <v>25</v>
      </c>
      <c r="L671" s="2" t="s">
        <v>30</v>
      </c>
      <c r="M671" s="4">
        <v>48</v>
      </c>
      <c r="N671" s="4" t="str">
        <f>IF(Bike_Data[[#This Row],[Age]]&gt;=54,"Old",IF(Bike_Data[[#This Row],[Age]]&lt;30,"Young Adult","Middle Age"))</f>
        <v>Middle Age</v>
      </c>
      <c r="O671" s="5">
        <f t="shared" ca="1" si="10"/>
        <v>29768</v>
      </c>
      <c r="P671" s="2" t="s">
        <v>14</v>
      </c>
    </row>
    <row r="672" spans="1:16" x14ac:dyDescent="0.25">
      <c r="A672">
        <v>22221</v>
      </c>
      <c r="B672" s="2" t="s">
        <v>31</v>
      </c>
      <c r="C672" s="2" t="s">
        <v>34</v>
      </c>
      <c r="D672" s="4">
        <v>60000</v>
      </c>
      <c r="E6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2">
        <v>2</v>
      </c>
      <c r="G672" s="2" t="s">
        <v>26</v>
      </c>
      <c r="H672" s="2" t="s">
        <v>20</v>
      </c>
      <c r="I672" t="s">
        <v>17</v>
      </c>
      <c r="J672">
        <v>2</v>
      </c>
      <c r="K672" t="s">
        <v>25</v>
      </c>
      <c r="L672" s="2" t="s">
        <v>30</v>
      </c>
      <c r="M672" s="4">
        <v>48</v>
      </c>
      <c r="N672" s="4" t="str">
        <f>IF(Bike_Data[[#This Row],[Age]]&gt;=54,"Old",IF(Bike_Data[[#This Row],[Age]]&lt;30,"Young Adult","Middle Age"))</f>
        <v>Middle Age</v>
      </c>
      <c r="O672" s="5">
        <f t="shared" ca="1" si="10"/>
        <v>32170</v>
      </c>
      <c r="P672" s="2" t="s">
        <v>14</v>
      </c>
    </row>
    <row r="673" spans="1:16" x14ac:dyDescent="0.25">
      <c r="A673">
        <v>16151</v>
      </c>
      <c r="B673" s="2" t="s">
        <v>31</v>
      </c>
      <c r="C673" s="2" t="s">
        <v>33</v>
      </c>
      <c r="D673" s="4">
        <v>60000</v>
      </c>
      <c r="E67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3">
        <v>1</v>
      </c>
      <c r="G673" s="2" t="s">
        <v>12</v>
      </c>
      <c r="H673" s="2" t="s">
        <v>20</v>
      </c>
      <c r="I673" t="s">
        <v>14</v>
      </c>
      <c r="J673">
        <v>1</v>
      </c>
      <c r="K673" t="s">
        <v>21</v>
      </c>
      <c r="L673" s="2" t="s">
        <v>30</v>
      </c>
      <c r="M673" s="4">
        <v>48</v>
      </c>
      <c r="N673" s="4" t="str">
        <f>IF(Bike_Data[[#This Row],[Age]]&gt;=54,"Old",IF(Bike_Data[[#This Row],[Age]]&lt;30,"Young Adult","Middle Age"))</f>
        <v>Middle Age</v>
      </c>
      <c r="O673" s="5">
        <f t="shared" ca="1" si="10"/>
        <v>35394</v>
      </c>
      <c r="P673" s="2" t="s">
        <v>14</v>
      </c>
    </row>
    <row r="674" spans="1:16" x14ac:dyDescent="0.25">
      <c r="A674">
        <v>19228</v>
      </c>
      <c r="B674" s="2" t="s">
        <v>31</v>
      </c>
      <c r="C674" s="2" t="s">
        <v>33</v>
      </c>
      <c r="D674" s="4">
        <v>40000</v>
      </c>
      <c r="E67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74">
        <v>2</v>
      </c>
      <c r="G674" s="2" t="s">
        <v>18</v>
      </c>
      <c r="H674" s="2" t="s">
        <v>19</v>
      </c>
      <c r="I674" t="s">
        <v>14</v>
      </c>
      <c r="J674">
        <v>1</v>
      </c>
      <c r="K674" t="s">
        <v>15</v>
      </c>
      <c r="L674" s="2" t="s">
        <v>30</v>
      </c>
      <c r="M674" s="4">
        <v>48</v>
      </c>
      <c r="N674" s="4" t="str">
        <f>IF(Bike_Data[[#This Row],[Age]]&gt;=54,"Old",IF(Bike_Data[[#This Row],[Age]]&lt;30,"Young Adult","Middle Age"))</f>
        <v>Middle Age</v>
      </c>
      <c r="O674" s="5">
        <f t="shared" ca="1" si="10"/>
        <v>31079</v>
      </c>
      <c r="P674" s="2" t="s">
        <v>17</v>
      </c>
    </row>
    <row r="675" spans="1:16" x14ac:dyDescent="0.25">
      <c r="A675">
        <v>11090</v>
      </c>
      <c r="B675" s="2" t="s">
        <v>32</v>
      </c>
      <c r="C675" s="2" t="s">
        <v>34</v>
      </c>
      <c r="D675" s="4">
        <v>90000</v>
      </c>
      <c r="E67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5">
        <v>2</v>
      </c>
      <c r="G675" s="2" t="s">
        <v>18</v>
      </c>
      <c r="H675" s="2" t="s">
        <v>20</v>
      </c>
      <c r="I675" t="s">
        <v>14</v>
      </c>
      <c r="J675">
        <v>1</v>
      </c>
      <c r="K675" t="s">
        <v>21</v>
      </c>
      <c r="L675" s="2" t="s">
        <v>30</v>
      </c>
      <c r="M675" s="4">
        <v>48</v>
      </c>
      <c r="N675" s="4" t="str">
        <f>IF(Bike_Data[[#This Row],[Age]]&gt;=54,"Old",IF(Bike_Data[[#This Row],[Age]]&lt;30,"Young Adult","Middle Age"))</f>
        <v>Middle Age</v>
      </c>
      <c r="O675" s="5">
        <f t="shared" ca="1" si="10"/>
        <v>35374</v>
      </c>
      <c r="P675" s="2" t="s">
        <v>14</v>
      </c>
    </row>
    <row r="676" spans="1:16" x14ac:dyDescent="0.25">
      <c r="A676">
        <v>23449</v>
      </c>
      <c r="B676" s="2" t="s">
        <v>31</v>
      </c>
      <c r="C676" s="2" t="s">
        <v>34</v>
      </c>
      <c r="D676" s="4">
        <v>60000</v>
      </c>
      <c r="E67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6">
        <v>2</v>
      </c>
      <c r="G676" s="2" t="s">
        <v>26</v>
      </c>
      <c r="H676" s="2" t="s">
        <v>20</v>
      </c>
      <c r="I676" t="s">
        <v>14</v>
      </c>
      <c r="J676">
        <v>2</v>
      </c>
      <c r="K676" t="s">
        <v>22</v>
      </c>
      <c r="L676" s="2" t="s">
        <v>30</v>
      </c>
      <c r="M676" s="4">
        <v>48</v>
      </c>
      <c r="N676" s="4" t="str">
        <f>IF(Bike_Data[[#This Row],[Age]]&gt;=54,"Old",IF(Bike_Data[[#This Row],[Age]]&lt;30,"Young Adult","Middle Age"))</f>
        <v>Middle Age</v>
      </c>
      <c r="O676" s="5">
        <f t="shared" ca="1" si="10"/>
        <v>28374</v>
      </c>
      <c r="P676" s="2" t="s">
        <v>17</v>
      </c>
    </row>
    <row r="677" spans="1:16" x14ac:dyDescent="0.25">
      <c r="A677">
        <v>14662</v>
      </c>
      <c r="B677" s="2" t="s">
        <v>31</v>
      </c>
      <c r="C677" s="2" t="s">
        <v>34</v>
      </c>
      <c r="D677" s="4">
        <v>60000</v>
      </c>
      <c r="E67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7">
        <v>1</v>
      </c>
      <c r="G677" s="2" t="s">
        <v>12</v>
      </c>
      <c r="H677" s="2" t="s">
        <v>20</v>
      </c>
      <c r="I677" t="s">
        <v>14</v>
      </c>
      <c r="J677">
        <v>1</v>
      </c>
      <c r="K677" t="s">
        <v>15</v>
      </c>
      <c r="L677" s="2" t="s">
        <v>30</v>
      </c>
      <c r="M677" s="4">
        <v>48</v>
      </c>
      <c r="N677" s="4" t="str">
        <f>IF(Bike_Data[[#This Row],[Age]]&gt;=54,"Old",IF(Bike_Data[[#This Row],[Age]]&lt;30,"Young Adult","Middle Age"))</f>
        <v>Middle Age</v>
      </c>
      <c r="O677" s="5">
        <f t="shared" ca="1" si="10"/>
        <v>25939</v>
      </c>
      <c r="P677" s="2" t="s">
        <v>14</v>
      </c>
    </row>
    <row r="678" spans="1:16" x14ac:dyDescent="0.25">
      <c r="A678">
        <v>25148</v>
      </c>
      <c r="B678" s="2" t="s">
        <v>31</v>
      </c>
      <c r="C678" s="2" t="s">
        <v>34</v>
      </c>
      <c r="D678" s="4">
        <v>60000</v>
      </c>
      <c r="E67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78">
        <v>2</v>
      </c>
      <c r="G678" s="2" t="s">
        <v>26</v>
      </c>
      <c r="H678" s="2" t="s">
        <v>20</v>
      </c>
      <c r="I678" t="s">
        <v>17</v>
      </c>
      <c r="J678">
        <v>2</v>
      </c>
      <c r="K678" t="s">
        <v>25</v>
      </c>
      <c r="L678" s="2" t="s">
        <v>30</v>
      </c>
      <c r="M678" s="4">
        <v>48</v>
      </c>
      <c r="N678" s="4" t="str">
        <f>IF(Bike_Data[[#This Row],[Age]]&gt;=54,"Old",IF(Bike_Data[[#This Row],[Age]]&lt;30,"Young Adult","Middle Age"))</f>
        <v>Middle Age</v>
      </c>
      <c r="O678" s="5">
        <f t="shared" ca="1" si="10"/>
        <v>32633</v>
      </c>
      <c r="P678" s="2" t="s">
        <v>14</v>
      </c>
    </row>
    <row r="679" spans="1:16" x14ac:dyDescent="0.25">
      <c r="A679">
        <v>24149</v>
      </c>
      <c r="B679" s="2" t="s">
        <v>31</v>
      </c>
      <c r="C679" s="2" t="s">
        <v>34</v>
      </c>
      <c r="D679" s="4">
        <v>10000</v>
      </c>
      <c r="E67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79">
        <v>2</v>
      </c>
      <c r="G679" s="2" t="s">
        <v>18</v>
      </c>
      <c r="H679" s="2" t="s">
        <v>24</v>
      </c>
      <c r="I679" t="s">
        <v>14</v>
      </c>
      <c r="J679">
        <v>0</v>
      </c>
      <c r="K679" t="s">
        <v>25</v>
      </c>
      <c r="L679" s="2" t="s">
        <v>16</v>
      </c>
      <c r="M679" s="4">
        <v>49</v>
      </c>
      <c r="N679" s="4" t="str">
        <f>IF(Bike_Data[[#This Row],[Age]]&gt;=54,"Old",IF(Bike_Data[[#This Row],[Age]]&lt;30,"Young Adult","Middle Age"))</f>
        <v>Middle Age</v>
      </c>
      <c r="O679" s="5">
        <f t="shared" ca="1" si="10"/>
        <v>36426</v>
      </c>
      <c r="P679" s="2" t="s">
        <v>17</v>
      </c>
    </row>
    <row r="680" spans="1:16" x14ac:dyDescent="0.25">
      <c r="A680">
        <v>18491</v>
      </c>
      <c r="B680" s="2" t="s">
        <v>32</v>
      </c>
      <c r="C680" s="2" t="s">
        <v>33</v>
      </c>
      <c r="D680" s="4">
        <v>70000</v>
      </c>
      <c r="E68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80">
        <v>2</v>
      </c>
      <c r="G680" s="2" t="s">
        <v>26</v>
      </c>
      <c r="H680" s="2" t="s">
        <v>20</v>
      </c>
      <c r="I680" t="s">
        <v>14</v>
      </c>
      <c r="J680">
        <v>2</v>
      </c>
      <c r="K680" t="s">
        <v>22</v>
      </c>
      <c r="L680" s="2" t="s">
        <v>23</v>
      </c>
      <c r="M680" s="4">
        <v>49</v>
      </c>
      <c r="N680" s="4" t="str">
        <f>IF(Bike_Data[[#This Row],[Age]]&gt;=54,"Old",IF(Bike_Data[[#This Row],[Age]]&lt;30,"Young Adult","Middle Age"))</f>
        <v>Middle Age</v>
      </c>
      <c r="O680" s="5">
        <f t="shared" ca="1" si="10"/>
        <v>30140</v>
      </c>
      <c r="P680" s="2" t="s">
        <v>14</v>
      </c>
    </row>
    <row r="681" spans="1:16" x14ac:dyDescent="0.25">
      <c r="A681">
        <v>14545</v>
      </c>
      <c r="B681" s="2" t="s">
        <v>31</v>
      </c>
      <c r="C681" s="2" t="s">
        <v>33</v>
      </c>
      <c r="D681" s="4">
        <v>10000</v>
      </c>
      <c r="E68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1">
        <v>2</v>
      </c>
      <c r="G681" s="2" t="s">
        <v>18</v>
      </c>
      <c r="H681" s="2" t="s">
        <v>24</v>
      </c>
      <c r="I681" t="s">
        <v>14</v>
      </c>
      <c r="J681">
        <v>0</v>
      </c>
      <c r="K681" t="s">
        <v>25</v>
      </c>
      <c r="L681" s="2" t="s">
        <v>16</v>
      </c>
      <c r="M681" s="4">
        <v>49</v>
      </c>
      <c r="N681" s="4" t="str">
        <f>IF(Bike_Data[[#This Row],[Age]]&gt;=54,"Old",IF(Bike_Data[[#This Row],[Age]]&lt;30,"Young Adult","Middle Age"))</f>
        <v>Middle Age</v>
      </c>
      <c r="O681" s="5">
        <f t="shared" ca="1" si="10"/>
        <v>37910</v>
      </c>
      <c r="P681" s="2" t="s">
        <v>17</v>
      </c>
    </row>
    <row r="682" spans="1:16" x14ac:dyDescent="0.25">
      <c r="A682">
        <v>14544</v>
      </c>
      <c r="B682" s="2" t="s">
        <v>32</v>
      </c>
      <c r="C682" s="2" t="s">
        <v>34</v>
      </c>
      <c r="D682" s="4">
        <v>10000</v>
      </c>
      <c r="E68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2">
        <v>1</v>
      </c>
      <c r="G682" s="2" t="s">
        <v>18</v>
      </c>
      <c r="H682" s="2" t="s">
        <v>24</v>
      </c>
      <c r="I682" t="s">
        <v>14</v>
      </c>
      <c r="J682">
        <v>0</v>
      </c>
      <c r="K682" t="s">
        <v>15</v>
      </c>
      <c r="L682" s="2" t="s">
        <v>16</v>
      </c>
      <c r="M682" s="4">
        <v>49</v>
      </c>
      <c r="N682" s="4" t="str">
        <f>IF(Bike_Data[[#This Row],[Age]]&gt;=54,"Old",IF(Bike_Data[[#This Row],[Age]]&lt;30,"Young Adult","Middle Age"))</f>
        <v>Middle Age</v>
      </c>
      <c r="O682" s="5">
        <f t="shared" ca="1" si="10"/>
        <v>34593</v>
      </c>
      <c r="P682" s="2" t="s">
        <v>17</v>
      </c>
    </row>
    <row r="683" spans="1:16" x14ac:dyDescent="0.25">
      <c r="A683">
        <v>22219</v>
      </c>
      <c r="B683" s="2" t="s">
        <v>31</v>
      </c>
      <c r="C683" s="2" t="s">
        <v>33</v>
      </c>
      <c r="D683" s="4">
        <v>60000</v>
      </c>
      <c r="E6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83">
        <v>2</v>
      </c>
      <c r="G683" s="2" t="s">
        <v>26</v>
      </c>
      <c r="H683" s="2" t="s">
        <v>20</v>
      </c>
      <c r="I683" t="s">
        <v>14</v>
      </c>
      <c r="J683">
        <v>2</v>
      </c>
      <c r="K683" t="s">
        <v>22</v>
      </c>
      <c r="L683" s="2" t="s">
        <v>30</v>
      </c>
      <c r="M683" s="4">
        <v>49</v>
      </c>
      <c r="N683" s="4" t="str">
        <f>IF(Bike_Data[[#This Row],[Age]]&gt;=54,"Old",IF(Bike_Data[[#This Row],[Age]]&lt;30,"Young Adult","Middle Age"))</f>
        <v>Middle Age</v>
      </c>
      <c r="O683" s="5">
        <f t="shared" ca="1" si="10"/>
        <v>33818</v>
      </c>
      <c r="P683" s="2" t="s">
        <v>17</v>
      </c>
    </row>
    <row r="684" spans="1:16" x14ac:dyDescent="0.25">
      <c r="A684">
        <v>13283</v>
      </c>
      <c r="B684" s="2" t="s">
        <v>31</v>
      </c>
      <c r="C684" s="2" t="s">
        <v>34</v>
      </c>
      <c r="D684" s="4">
        <v>80000</v>
      </c>
      <c r="E6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84">
        <v>3</v>
      </c>
      <c r="G684" s="2" t="s">
        <v>18</v>
      </c>
      <c r="H684" s="2" t="s">
        <v>20</v>
      </c>
      <c r="I684" t="s">
        <v>17</v>
      </c>
      <c r="J684">
        <v>2</v>
      </c>
      <c r="K684" t="s">
        <v>15</v>
      </c>
      <c r="L684" s="2" t="s">
        <v>30</v>
      </c>
      <c r="M684" s="4">
        <v>49</v>
      </c>
      <c r="N684" s="4" t="str">
        <f>IF(Bike_Data[[#This Row],[Age]]&gt;=54,"Old",IF(Bike_Data[[#This Row],[Age]]&lt;30,"Young Adult","Middle Age"))</f>
        <v>Middle Age</v>
      </c>
      <c r="O684" s="5">
        <f t="shared" ca="1" si="10"/>
        <v>26481</v>
      </c>
      <c r="P684" s="2" t="s">
        <v>14</v>
      </c>
    </row>
    <row r="685" spans="1:16" x14ac:dyDescent="0.25">
      <c r="A685">
        <v>14900</v>
      </c>
      <c r="B685" s="2" t="s">
        <v>31</v>
      </c>
      <c r="C685" s="2" t="s">
        <v>33</v>
      </c>
      <c r="D685" s="4">
        <v>40000</v>
      </c>
      <c r="E68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5">
        <v>1</v>
      </c>
      <c r="G685" s="2" t="s">
        <v>18</v>
      </c>
      <c r="H685" s="2" t="s">
        <v>19</v>
      </c>
      <c r="I685" t="s">
        <v>14</v>
      </c>
      <c r="J685">
        <v>1</v>
      </c>
      <c r="K685" t="s">
        <v>25</v>
      </c>
      <c r="L685" s="2" t="s">
        <v>30</v>
      </c>
      <c r="M685" s="4">
        <v>49</v>
      </c>
      <c r="N685" s="4" t="str">
        <f>IF(Bike_Data[[#This Row],[Age]]&gt;=54,"Old",IF(Bike_Data[[#This Row],[Age]]&lt;30,"Young Adult","Middle Age"))</f>
        <v>Middle Age</v>
      </c>
      <c r="O685" s="5">
        <f t="shared" ca="1" si="10"/>
        <v>31469</v>
      </c>
      <c r="P685" s="2" t="s">
        <v>14</v>
      </c>
    </row>
    <row r="686" spans="1:16" x14ac:dyDescent="0.25">
      <c r="A686">
        <v>19812</v>
      </c>
      <c r="B686" s="2" t="s">
        <v>32</v>
      </c>
      <c r="C686" s="2" t="s">
        <v>33</v>
      </c>
      <c r="D686" s="4">
        <v>70000</v>
      </c>
      <c r="E68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86">
        <v>2</v>
      </c>
      <c r="G686" s="2" t="s">
        <v>18</v>
      </c>
      <c r="H686" s="2" t="s">
        <v>20</v>
      </c>
      <c r="I686" t="s">
        <v>14</v>
      </c>
      <c r="J686">
        <v>0</v>
      </c>
      <c r="K686" t="s">
        <v>22</v>
      </c>
      <c r="L686" s="2" t="s">
        <v>30</v>
      </c>
      <c r="M686" s="4">
        <v>49</v>
      </c>
      <c r="N686" s="4" t="str">
        <f>IF(Bike_Data[[#This Row],[Age]]&gt;=54,"Old",IF(Bike_Data[[#This Row],[Age]]&lt;30,"Young Adult","Middle Age"))</f>
        <v>Middle Age</v>
      </c>
      <c r="O686" s="5">
        <f t="shared" ca="1" si="10"/>
        <v>26624</v>
      </c>
      <c r="P686" s="2" t="s">
        <v>14</v>
      </c>
    </row>
    <row r="687" spans="1:16" x14ac:dyDescent="0.25">
      <c r="A687">
        <v>28609</v>
      </c>
      <c r="B687" s="2" t="s">
        <v>31</v>
      </c>
      <c r="C687" s="2" t="s">
        <v>34</v>
      </c>
      <c r="D687" s="4">
        <v>30000</v>
      </c>
      <c r="E68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7">
        <v>2</v>
      </c>
      <c r="G687" s="2" t="s">
        <v>26</v>
      </c>
      <c r="H687" s="2" t="s">
        <v>13</v>
      </c>
      <c r="I687" t="s">
        <v>17</v>
      </c>
      <c r="J687">
        <v>2</v>
      </c>
      <c r="K687" t="s">
        <v>15</v>
      </c>
      <c r="L687" s="2" t="s">
        <v>30</v>
      </c>
      <c r="M687" s="4">
        <v>49</v>
      </c>
      <c r="N687" s="4" t="str">
        <f>IF(Bike_Data[[#This Row],[Age]]&gt;=54,"Old",IF(Bike_Data[[#This Row],[Age]]&lt;30,"Young Adult","Middle Age"))</f>
        <v>Middle Age</v>
      </c>
      <c r="O687" s="5">
        <f t="shared" ca="1" si="10"/>
        <v>27623</v>
      </c>
      <c r="P687" s="2" t="s">
        <v>17</v>
      </c>
    </row>
    <row r="688" spans="1:16" x14ac:dyDescent="0.25">
      <c r="A688">
        <v>25347</v>
      </c>
      <c r="B688" s="2" t="s">
        <v>32</v>
      </c>
      <c r="C688" s="2" t="s">
        <v>33</v>
      </c>
      <c r="D688" s="4">
        <v>20000</v>
      </c>
      <c r="E6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8">
        <v>3</v>
      </c>
      <c r="G688" s="2" t="s">
        <v>28</v>
      </c>
      <c r="H688" s="2" t="s">
        <v>19</v>
      </c>
      <c r="I688" t="s">
        <v>17</v>
      </c>
      <c r="J688">
        <v>2</v>
      </c>
      <c r="K688" t="s">
        <v>15</v>
      </c>
      <c r="L688" s="2" t="s">
        <v>30</v>
      </c>
      <c r="M688" s="4">
        <v>49</v>
      </c>
      <c r="N688" s="4" t="str">
        <f>IF(Bike_Data[[#This Row],[Age]]&gt;=54,"Old",IF(Bike_Data[[#This Row],[Age]]&lt;30,"Young Adult","Middle Age"))</f>
        <v>Middle Age</v>
      </c>
      <c r="O688" s="5">
        <f t="shared" ca="1" si="10"/>
        <v>30564</v>
      </c>
      <c r="P688" s="2" t="s">
        <v>17</v>
      </c>
    </row>
    <row r="689" spans="1:16" x14ac:dyDescent="0.25">
      <c r="A689">
        <v>24745</v>
      </c>
      <c r="B689" s="2" t="s">
        <v>32</v>
      </c>
      <c r="C689" s="2" t="s">
        <v>33</v>
      </c>
      <c r="D689" s="4">
        <v>30000</v>
      </c>
      <c r="E68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89">
        <v>2</v>
      </c>
      <c r="G689" s="2" t="s">
        <v>26</v>
      </c>
      <c r="H689" s="2" t="s">
        <v>13</v>
      </c>
      <c r="I689" t="s">
        <v>17</v>
      </c>
      <c r="J689">
        <v>2</v>
      </c>
      <c r="K689" t="s">
        <v>15</v>
      </c>
      <c r="L689" s="2" t="s">
        <v>30</v>
      </c>
      <c r="M689" s="4">
        <v>49</v>
      </c>
      <c r="N689" s="4" t="str">
        <f>IF(Bike_Data[[#This Row],[Age]]&gt;=54,"Old",IF(Bike_Data[[#This Row],[Age]]&lt;30,"Young Adult","Middle Age"))</f>
        <v>Middle Age</v>
      </c>
      <c r="O689" s="5">
        <f t="shared" ca="1" si="10"/>
        <v>27460</v>
      </c>
      <c r="P689" s="2" t="s">
        <v>17</v>
      </c>
    </row>
    <row r="690" spans="1:16" x14ac:dyDescent="0.25">
      <c r="A690">
        <v>27040</v>
      </c>
      <c r="B690" s="2" t="s">
        <v>31</v>
      </c>
      <c r="C690" s="2" t="s">
        <v>34</v>
      </c>
      <c r="D690" s="4">
        <v>20000</v>
      </c>
      <c r="E6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90">
        <v>2</v>
      </c>
      <c r="G690" s="2" t="s">
        <v>28</v>
      </c>
      <c r="H690" s="2" t="s">
        <v>19</v>
      </c>
      <c r="I690" t="s">
        <v>14</v>
      </c>
      <c r="J690">
        <v>2</v>
      </c>
      <c r="K690" t="s">
        <v>25</v>
      </c>
      <c r="L690" s="2" t="s">
        <v>30</v>
      </c>
      <c r="M690" s="4">
        <v>49</v>
      </c>
      <c r="N690" s="4" t="str">
        <f>IF(Bike_Data[[#This Row],[Age]]&gt;=54,"Old",IF(Bike_Data[[#This Row],[Age]]&lt;30,"Young Adult","Middle Age"))</f>
        <v>Middle Age</v>
      </c>
      <c r="O690" s="5">
        <f t="shared" ca="1" si="10"/>
        <v>28890</v>
      </c>
      <c r="P690" s="2" t="s">
        <v>17</v>
      </c>
    </row>
    <row r="691" spans="1:16" x14ac:dyDescent="0.25">
      <c r="A691">
        <v>26678</v>
      </c>
      <c r="B691" s="2" t="s">
        <v>32</v>
      </c>
      <c r="C691" s="2" t="s">
        <v>33</v>
      </c>
      <c r="D691" s="4">
        <v>80000</v>
      </c>
      <c r="E69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91">
        <v>2</v>
      </c>
      <c r="G691" s="2" t="s">
        <v>28</v>
      </c>
      <c r="H691" s="2" t="s">
        <v>13</v>
      </c>
      <c r="I691" t="s">
        <v>14</v>
      </c>
      <c r="J691">
        <v>2</v>
      </c>
      <c r="K691" t="s">
        <v>22</v>
      </c>
      <c r="L691" s="2" t="s">
        <v>30</v>
      </c>
      <c r="M691" s="4">
        <v>49</v>
      </c>
      <c r="N691" s="4" t="str">
        <f>IF(Bike_Data[[#This Row],[Age]]&gt;=54,"Old",IF(Bike_Data[[#This Row],[Age]]&lt;30,"Young Adult","Middle Age"))</f>
        <v>Middle Age</v>
      </c>
      <c r="O691" s="5">
        <f t="shared" ca="1" si="10"/>
        <v>26832</v>
      </c>
      <c r="P691" s="2" t="s">
        <v>17</v>
      </c>
    </row>
    <row r="692" spans="1:16" x14ac:dyDescent="0.25">
      <c r="A692">
        <v>23275</v>
      </c>
      <c r="B692" s="2" t="s">
        <v>31</v>
      </c>
      <c r="C692" s="2" t="s">
        <v>34</v>
      </c>
      <c r="D692" s="4">
        <v>30000</v>
      </c>
      <c r="E6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92">
        <v>2</v>
      </c>
      <c r="G692" s="2" t="s">
        <v>26</v>
      </c>
      <c r="H692" s="2" t="s">
        <v>13</v>
      </c>
      <c r="I692" t="s">
        <v>14</v>
      </c>
      <c r="J692">
        <v>2</v>
      </c>
      <c r="K692" t="s">
        <v>25</v>
      </c>
      <c r="L692" s="2" t="s">
        <v>30</v>
      </c>
      <c r="M692" s="4">
        <v>49</v>
      </c>
      <c r="N692" s="4" t="str">
        <f>IF(Bike_Data[[#This Row],[Age]]&gt;=54,"Old",IF(Bike_Data[[#This Row],[Age]]&lt;30,"Young Adult","Middle Age"))</f>
        <v>Middle Age</v>
      </c>
      <c r="O692" s="5">
        <f t="shared" ca="1" si="10"/>
        <v>30719</v>
      </c>
      <c r="P692" s="2" t="s">
        <v>17</v>
      </c>
    </row>
    <row r="693" spans="1:16" x14ac:dyDescent="0.25">
      <c r="A693">
        <v>22220</v>
      </c>
      <c r="B693" s="2" t="s">
        <v>31</v>
      </c>
      <c r="C693" s="2" t="s">
        <v>34</v>
      </c>
      <c r="D693" s="4">
        <v>60000</v>
      </c>
      <c r="E69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93">
        <v>2</v>
      </c>
      <c r="G693" s="2" t="s">
        <v>26</v>
      </c>
      <c r="H693" s="2" t="s">
        <v>20</v>
      </c>
      <c r="I693" t="s">
        <v>17</v>
      </c>
      <c r="J693">
        <v>2</v>
      </c>
      <c r="K693" t="s">
        <v>25</v>
      </c>
      <c r="L693" s="2" t="s">
        <v>30</v>
      </c>
      <c r="M693" s="4">
        <v>49</v>
      </c>
      <c r="N693" s="4" t="str">
        <f>IF(Bike_Data[[#This Row],[Age]]&gt;=54,"Old",IF(Bike_Data[[#This Row],[Age]]&lt;30,"Young Adult","Middle Age"))</f>
        <v>Middle Age</v>
      </c>
      <c r="O693" s="5">
        <f t="shared" ca="1" si="10"/>
        <v>28737</v>
      </c>
      <c r="P693" s="2" t="s">
        <v>14</v>
      </c>
    </row>
    <row r="694" spans="1:16" x14ac:dyDescent="0.25">
      <c r="A694">
        <v>18504</v>
      </c>
      <c r="B694" s="2" t="s">
        <v>31</v>
      </c>
      <c r="C694" s="2" t="s">
        <v>34</v>
      </c>
      <c r="D694" s="4">
        <v>70000</v>
      </c>
      <c r="E6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94">
        <v>2</v>
      </c>
      <c r="G694" s="2" t="s">
        <v>28</v>
      </c>
      <c r="H694" s="2" t="s">
        <v>13</v>
      </c>
      <c r="I694" t="s">
        <v>17</v>
      </c>
      <c r="J694">
        <v>2</v>
      </c>
      <c r="K694" t="s">
        <v>25</v>
      </c>
      <c r="L694" s="2" t="s">
        <v>30</v>
      </c>
      <c r="M694" s="4">
        <v>49</v>
      </c>
      <c r="N694" s="4" t="str">
        <f>IF(Bike_Data[[#This Row],[Age]]&gt;=54,"Old",IF(Bike_Data[[#This Row],[Age]]&lt;30,"Young Adult","Middle Age"))</f>
        <v>Middle Age</v>
      </c>
      <c r="O694" s="5">
        <f t="shared" ca="1" si="10"/>
        <v>34842</v>
      </c>
      <c r="P694" s="2" t="s">
        <v>17</v>
      </c>
    </row>
    <row r="695" spans="1:16" x14ac:dyDescent="0.25">
      <c r="A695">
        <v>26270</v>
      </c>
      <c r="B695" s="2" t="s">
        <v>32</v>
      </c>
      <c r="C695" s="2" t="s">
        <v>33</v>
      </c>
      <c r="D695" s="4">
        <v>20000</v>
      </c>
      <c r="E6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95">
        <v>2</v>
      </c>
      <c r="G695" s="2" t="s">
        <v>28</v>
      </c>
      <c r="H695" s="2" t="s">
        <v>19</v>
      </c>
      <c r="I695" t="s">
        <v>14</v>
      </c>
      <c r="J695">
        <v>2</v>
      </c>
      <c r="K695" t="s">
        <v>25</v>
      </c>
      <c r="L695" s="2" t="s">
        <v>30</v>
      </c>
      <c r="M695" s="4">
        <v>49</v>
      </c>
      <c r="N695" s="4" t="str">
        <f>IF(Bike_Data[[#This Row],[Age]]&gt;=54,"Old",IF(Bike_Data[[#This Row],[Age]]&lt;30,"Young Adult","Middle Age"))</f>
        <v>Middle Age</v>
      </c>
      <c r="O695" s="5">
        <f t="shared" ca="1" si="10"/>
        <v>28327</v>
      </c>
      <c r="P695" s="2" t="s">
        <v>17</v>
      </c>
    </row>
    <row r="696" spans="1:16" x14ac:dyDescent="0.25">
      <c r="A696">
        <v>19217</v>
      </c>
      <c r="B696" s="2" t="s">
        <v>31</v>
      </c>
      <c r="C696" s="2" t="s">
        <v>34</v>
      </c>
      <c r="D696" s="4">
        <v>30000</v>
      </c>
      <c r="E6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96">
        <v>2</v>
      </c>
      <c r="G696" s="2" t="s">
        <v>26</v>
      </c>
      <c r="H696" s="2" t="s">
        <v>13</v>
      </c>
      <c r="I696" t="s">
        <v>14</v>
      </c>
      <c r="J696">
        <v>2</v>
      </c>
      <c r="K696" t="s">
        <v>25</v>
      </c>
      <c r="L696" s="2" t="s">
        <v>30</v>
      </c>
      <c r="M696" s="4">
        <v>49</v>
      </c>
      <c r="N696" s="4" t="str">
        <f>IF(Bike_Data[[#This Row],[Age]]&gt;=54,"Old",IF(Bike_Data[[#This Row],[Age]]&lt;30,"Young Adult","Middle Age"))</f>
        <v>Middle Age</v>
      </c>
      <c r="O696" s="5">
        <f t="shared" ca="1" si="10"/>
        <v>37836</v>
      </c>
      <c r="P696" s="2" t="s">
        <v>17</v>
      </c>
    </row>
    <row r="697" spans="1:16" x14ac:dyDescent="0.25">
      <c r="A697">
        <v>26693</v>
      </c>
      <c r="B697" s="2" t="s">
        <v>31</v>
      </c>
      <c r="C697" s="2" t="s">
        <v>34</v>
      </c>
      <c r="D697" s="4">
        <v>70000</v>
      </c>
      <c r="E69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97">
        <v>3</v>
      </c>
      <c r="G697" s="2" t="s">
        <v>18</v>
      </c>
      <c r="H697" s="2" t="s">
        <v>20</v>
      </c>
      <c r="I697" t="s">
        <v>14</v>
      </c>
      <c r="J697">
        <v>1</v>
      </c>
      <c r="K697" t="s">
        <v>22</v>
      </c>
      <c r="L697" s="2" t="s">
        <v>30</v>
      </c>
      <c r="M697" s="4">
        <v>49</v>
      </c>
      <c r="N697" s="4" t="str">
        <f>IF(Bike_Data[[#This Row],[Age]]&gt;=54,"Old",IF(Bike_Data[[#This Row],[Age]]&lt;30,"Young Adult","Middle Age"))</f>
        <v>Middle Age</v>
      </c>
      <c r="O697" s="5">
        <f t="shared" ca="1" si="10"/>
        <v>27242</v>
      </c>
      <c r="P697" s="2" t="s">
        <v>17</v>
      </c>
    </row>
    <row r="698" spans="1:16" x14ac:dyDescent="0.25">
      <c r="A698">
        <v>23801</v>
      </c>
      <c r="B698" s="2" t="s">
        <v>31</v>
      </c>
      <c r="C698" s="2" t="s">
        <v>33</v>
      </c>
      <c r="D698" s="4">
        <v>20000</v>
      </c>
      <c r="E69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698">
        <v>2</v>
      </c>
      <c r="G698" s="2" t="s">
        <v>28</v>
      </c>
      <c r="H698" s="2" t="s">
        <v>19</v>
      </c>
      <c r="I698" t="s">
        <v>14</v>
      </c>
      <c r="J698">
        <v>2</v>
      </c>
      <c r="K698" t="s">
        <v>15</v>
      </c>
      <c r="L698" s="2" t="s">
        <v>30</v>
      </c>
      <c r="M698" s="4">
        <v>49</v>
      </c>
      <c r="N698" s="4" t="str">
        <f>IF(Bike_Data[[#This Row],[Age]]&gt;=54,"Old",IF(Bike_Data[[#This Row],[Age]]&lt;30,"Young Adult","Middle Age"))</f>
        <v>Middle Age</v>
      </c>
      <c r="O698" s="5">
        <f t="shared" ca="1" si="10"/>
        <v>33135</v>
      </c>
      <c r="P698" s="2" t="s">
        <v>17</v>
      </c>
    </row>
    <row r="699" spans="1:16" x14ac:dyDescent="0.25">
      <c r="A699">
        <v>12153</v>
      </c>
      <c r="B699" s="2" t="s">
        <v>32</v>
      </c>
      <c r="C699" s="2" t="s">
        <v>33</v>
      </c>
      <c r="D699" s="4">
        <v>70000</v>
      </c>
      <c r="E69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699">
        <v>3</v>
      </c>
      <c r="G699" s="2" t="s">
        <v>18</v>
      </c>
      <c r="H699" s="2" t="s">
        <v>20</v>
      </c>
      <c r="I699" t="s">
        <v>14</v>
      </c>
      <c r="J699">
        <v>1</v>
      </c>
      <c r="K699" t="s">
        <v>22</v>
      </c>
      <c r="L699" s="2" t="s">
        <v>30</v>
      </c>
      <c r="M699" s="4">
        <v>49</v>
      </c>
      <c r="N699" s="4" t="str">
        <f>IF(Bike_Data[[#This Row],[Age]]&gt;=54,"Old",IF(Bike_Data[[#This Row],[Age]]&lt;30,"Young Adult","Middle Age"))</f>
        <v>Middle Age</v>
      </c>
      <c r="O699" s="5">
        <f t="shared" ca="1" si="10"/>
        <v>34702</v>
      </c>
      <c r="P699" s="2" t="s">
        <v>14</v>
      </c>
    </row>
    <row r="700" spans="1:16" x14ac:dyDescent="0.25">
      <c r="A700">
        <v>14914</v>
      </c>
      <c r="B700" s="2" t="s">
        <v>31</v>
      </c>
      <c r="C700" s="2" t="s">
        <v>33</v>
      </c>
      <c r="D700" s="4">
        <v>40000</v>
      </c>
      <c r="E7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00">
        <v>1</v>
      </c>
      <c r="G700" s="2" t="s">
        <v>18</v>
      </c>
      <c r="H700" s="2" t="s">
        <v>19</v>
      </c>
      <c r="I700" t="s">
        <v>14</v>
      </c>
      <c r="J700">
        <v>1</v>
      </c>
      <c r="K700" t="s">
        <v>25</v>
      </c>
      <c r="L700" s="2" t="s">
        <v>30</v>
      </c>
      <c r="M700" s="4">
        <v>49</v>
      </c>
      <c r="N700" s="4" t="str">
        <f>IF(Bike_Data[[#This Row],[Age]]&gt;=54,"Old",IF(Bike_Data[[#This Row],[Age]]&lt;30,"Young Adult","Middle Age"))</f>
        <v>Middle Age</v>
      </c>
      <c r="O700" s="5">
        <f t="shared" ca="1" si="10"/>
        <v>33751</v>
      </c>
      <c r="P700" s="2" t="s">
        <v>14</v>
      </c>
    </row>
    <row r="701" spans="1:16" x14ac:dyDescent="0.25">
      <c r="A701">
        <v>22864</v>
      </c>
      <c r="B701" s="2" t="s">
        <v>31</v>
      </c>
      <c r="C701" s="2" t="s">
        <v>34</v>
      </c>
      <c r="D701" s="4">
        <v>90000</v>
      </c>
      <c r="E70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01">
        <v>2</v>
      </c>
      <c r="G701" s="2" t="s">
        <v>18</v>
      </c>
      <c r="H701" s="2" t="s">
        <v>20</v>
      </c>
      <c r="I701" t="s">
        <v>17</v>
      </c>
      <c r="J701">
        <v>0</v>
      </c>
      <c r="K701" t="s">
        <v>22</v>
      </c>
      <c r="L701" s="2" t="s">
        <v>30</v>
      </c>
      <c r="M701" s="4">
        <v>49</v>
      </c>
      <c r="N701" s="4" t="str">
        <f>IF(Bike_Data[[#This Row],[Age]]&gt;=54,"Old",IF(Bike_Data[[#This Row],[Age]]&lt;30,"Young Adult","Middle Age"))</f>
        <v>Middle Age</v>
      </c>
      <c r="O701" s="5">
        <f t="shared" ca="1" si="10"/>
        <v>30946</v>
      </c>
      <c r="P701" s="2" t="s">
        <v>14</v>
      </c>
    </row>
    <row r="702" spans="1:16" x14ac:dyDescent="0.25">
      <c r="A702">
        <v>13507</v>
      </c>
      <c r="B702" s="2" t="s">
        <v>31</v>
      </c>
      <c r="C702" s="2" t="s">
        <v>33</v>
      </c>
      <c r="D702" s="4">
        <v>10000</v>
      </c>
      <c r="E70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02">
        <v>2</v>
      </c>
      <c r="G702" s="2" t="s">
        <v>18</v>
      </c>
      <c r="H702" s="2" t="s">
        <v>24</v>
      </c>
      <c r="I702" t="s">
        <v>14</v>
      </c>
      <c r="J702">
        <v>0</v>
      </c>
      <c r="K702" t="s">
        <v>25</v>
      </c>
      <c r="L702" s="2" t="s">
        <v>16</v>
      </c>
      <c r="M702" s="4">
        <v>50</v>
      </c>
      <c r="N702" s="4" t="str">
        <f>IF(Bike_Data[[#This Row],[Age]]&gt;=54,"Old",IF(Bike_Data[[#This Row],[Age]]&lt;30,"Young Adult","Middle Age"))</f>
        <v>Middle Age</v>
      </c>
      <c r="O702" s="5">
        <f t="shared" ca="1" si="10"/>
        <v>28811</v>
      </c>
      <c r="P702" s="2" t="s">
        <v>17</v>
      </c>
    </row>
    <row r="703" spans="1:16" x14ac:dyDescent="0.25">
      <c r="A703">
        <v>18484</v>
      </c>
      <c r="B703" s="2" t="s">
        <v>32</v>
      </c>
      <c r="C703" s="2" t="s">
        <v>34</v>
      </c>
      <c r="D703" s="4">
        <v>80000</v>
      </c>
      <c r="E70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03">
        <v>2</v>
      </c>
      <c r="G703" s="2" t="s">
        <v>26</v>
      </c>
      <c r="H703" s="2" t="s">
        <v>13</v>
      </c>
      <c r="I703" t="s">
        <v>17</v>
      </c>
      <c r="J703">
        <v>2</v>
      </c>
      <c r="K703" t="s">
        <v>25</v>
      </c>
      <c r="L703" s="2" t="s">
        <v>23</v>
      </c>
      <c r="M703" s="4">
        <v>50</v>
      </c>
      <c r="N703" s="4" t="str">
        <f>IF(Bike_Data[[#This Row],[Age]]&gt;=54,"Old",IF(Bike_Data[[#This Row],[Age]]&lt;30,"Young Adult","Middle Age"))</f>
        <v>Middle Age</v>
      </c>
      <c r="O703" s="5">
        <f t="shared" ca="1" si="10"/>
        <v>37041</v>
      </c>
      <c r="P703" s="2" t="s">
        <v>14</v>
      </c>
    </row>
    <row r="704" spans="1:16" x14ac:dyDescent="0.25">
      <c r="A704">
        <v>17891</v>
      </c>
      <c r="B704" s="2" t="s">
        <v>31</v>
      </c>
      <c r="C704" s="2" t="s">
        <v>33</v>
      </c>
      <c r="D704" s="4">
        <v>10000</v>
      </c>
      <c r="E70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04">
        <v>2</v>
      </c>
      <c r="G704" s="2" t="s">
        <v>18</v>
      </c>
      <c r="H704" s="2" t="s">
        <v>24</v>
      </c>
      <c r="I704" t="s">
        <v>14</v>
      </c>
      <c r="J704">
        <v>1</v>
      </c>
      <c r="K704" t="s">
        <v>15</v>
      </c>
      <c r="L704" s="2" t="s">
        <v>16</v>
      </c>
      <c r="M704" s="4">
        <v>50</v>
      </c>
      <c r="N704" s="4" t="str">
        <f>IF(Bike_Data[[#This Row],[Age]]&gt;=54,"Old",IF(Bike_Data[[#This Row],[Age]]&lt;30,"Young Adult","Middle Age"))</f>
        <v>Middle Age</v>
      </c>
      <c r="O704" s="5">
        <f t="shared" ca="1" si="10"/>
        <v>30171</v>
      </c>
      <c r="P704" s="2" t="s">
        <v>14</v>
      </c>
    </row>
    <row r="705" spans="1:16" x14ac:dyDescent="0.25">
      <c r="A705">
        <v>15752</v>
      </c>
      <c r="B705" s="2" t="s">
        <v>31</v>
      </c>
      <c r="C705" s="2" t="s">
        <v>34</v>
      </c>
      <c r="D705" s="4">
        <v>80000</v>
      </c>
      <c r="E70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05">
        <v>2</v>
      </c>
      <c r="G705" s="2" t="s">
        <v>26</v>
      </c>
      <c r="H705" s="2" t="s">
        <v>13</v>
      </c>
      <c r="I705" t="s">
        <v>17</v>
      </c>
      <c r="J705">
        <v>2</v>
      </c>
      <c r="K705" t="s">
        <v>25</v>
      </c>
      <c r="L705" s="2" t="s">
        <v>23</v>
      </c>
      <c r="M705" s="4">
        <v>50</v>
      </c>
      <c r="N705" s="4" t="str">
        <f>IF(Bike_Data[[#This Row],[Age]]&gt;=54,"Old",IF(Bike_Data[[#This Row],[Age]]&lt;30,"Young Adult","Middle Age"))</f>
        <v>Middle Age</v>
      </c>
      <c r="O705" s="5">
        <f t="shared" ca="1" si="10"/>
        <v>32984</v>
      </c>
      <c r="P705" s="2" t="s">
        <v>14</v>
      </c>
    </row>
    <row r="706" spans="1:16" x14ac:dyDescent="0.25">
      <c r="A706">
        <v>23979</v>
      </c>
      <c r="B706" s="2" t="s">
        <v>32</v>
      </c>
      <c r="C706" s="2" t="s">
        <v>34</v>
      </c>
      <c r="D706" s="4">
        <v>10000</v>
      </c>
      <c r="E70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06">
        <v>2</v>
      </c>
      <c r="G706" s="2" t="s">
        <v>18</v>
      </c>
      <c r="H706" s="2" t="s">
        <v>24</v>
      </c>
      <c r="I706" t="s">
        <v>17</v>
      </c>
      <c r="J706">
        <v>0</v>
      </c>
      <c r="K706" t="s">
        <v>15</v>
      </c>
      <c r="L706" s="2" t="s">
        <v>16</v>
      </c>
      <c r="M706" s="4">
        <v>50</v>
      </c>
      <c r="N706" s="4" t="str">
        <f>IF(Bike_Data[[#This Row],[Age]]&gt;=54,"Old",IF(Bike_Data[[#This Row],[Age]]&lt;30,"Young Adult","Middle Age"))</f>
        <v>Middle Age</v>
      </c>
      <c r="O706" s="5">
        <f t="shared" ca="1" si="10"/>
        <v>34729</v>
      </c>
      <c r="P706" s="2" t="s">
        <v>17</v>
      </c>
    </row>
    <row r="707" spans="1:16" x14ac:dyDescent="0.25">
      <c r="A707">
        <v>15926</v>
      </c>
      <c r="B707" s="2" t="s">
        <v>32</v>
      </c>
      <c r="C707" s="2" t="s">
        <v>33</v>
      </c>
      <c r="D707" s="4">
        <v>120000</v>
      </c>
      <c r="E70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07">
        <v>3</v>
      </c>
      <c r="G707" s="2" t="s">
        <v>26</v>
      </c>
      <c r="H707" s="2" t="s">
        <v>20</v>
      </c>
      <c r="I707" t="s">
        <v>14</v>
      </c>
      <c r="J707">
        <v>4</v>
      </c>
      <c r="K707" t="s">
        <v>22</v>
      </c>
      <c r="L707" s="2" t="s">
        <v>16</v>
      </c>
      <c r="M707" s="4">
        <v>50</v>
      </c>
      <c r="N707" s="4" t="str">
        <f>IF(Bike_Data[[#This Row],[Age]]&gt;=54,"Old",IF(Bike_Data[[#This Row],[Age]]&lt;30,"Young Adult","Middle Age"))</f>
        <v>Middle Age</v>
      </c>
      <c r="O707" s="5">
        <f t="shared" ref="O707:O770" ca="1" si="11">RANDBETWEEN(DATE(1971,1,1), DATE(2003,12,31))</f>
        <v>27806</v>
      </c>
      <c r="P707" s="2" t="s">
        <v>14</v>
      </c>
    </row>
    <row r="708" spans="1:16" x14ac:dyDescent="0.25">
      <c r="A708">
        <v>17894</v>
      </c>
      <c r="B708" s="2" t="s">
        <v>31</v>
      </c>
      <c r="C708" s="2" t="s">
        <v>33</v>
      </c>
      <c r="D708" s="4">
        <v>20000</v>
      </c>
      <c r="E70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08">
        <v>1</v>
      </c>
      <c r="G708" s="2" t="s">
        <v>12</v>
      </c>
      <c r="H708" s="2" t="s">
        <v>19</v>
      </c>
      <c r="I708" t="s">
        <v>14</v>
      </c>
      <c r="J708">
        <v>0</v>
      </c>
      <c r="K708" t="s">
        <v>15</v>
      </c>
      <c r="L708" s="2" t="s">
        <v>16</v>
      </c>
      <c r="M708" s="4">
        <v>50</v>
      </c>
      <c r="N708" s="4" t="str">
        <f>IF(Bike_Data[[#This Row],[Age]]&gt;=54,"Old",IF(Bike_Data[[#This Row],[Age]]&lt;30,"Young Adult","Middle Age"))</f>
        <v>Middle Age</v>
      </c>
      <c r="O708" s="5">
        <f t="shared" ca="1" si="11"/>
        <v>27560</v>
      </c>
      <c r="P708" s="2" t="s">
        <v>14</v>
      </c>
    </row>
    <row r="709" spans="1:16" x14ac:dyDescent="0.25">
      <c r="A709">
        <v>12133</v>
      </c>
      <c r="B709" s="2" t="s">
        <v>31</v>
      </c>
      <c r="C709" s="2" t="s">
        <v>33</v>
      </c>
      <c r="D709" s="4">
        <v>130000</v>
      </c>
      <c r="E70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09">
        <v>3</v>
      </c>
      <c r="G709" s="2" t="s">
        <v>18</v>
      </c>
      <c r="H709" s="2" t="s">
        <v>20</v>
      </c>
      <c r="I709" t="s">
        <v>14</v>
      </c>
      <c r="J709">
        <v>3</v>
      </c>
      <c r="K709" t="s">
        <v>22</v>
      </c>
      <c r="L709" s="2" t="s">
        <v>16</v>
      </c>
      <c r="M709" s="4">
        <v>50</v>
      </c>
      <c r="N709" s="4" t="str">
        <f>IF(Bike_Data[[#This Row],[Age]]&gt;=54,"Old",IF(Bike_Data[[#This Row],[Age]]&lt;30,"Young Adult","Middle Age"))</f>
        <v>Middle Age</v>
      </c>
      <c r="O709" s="5">
        <f t="shared" ca="1" si="11"/>
        <v>37740</v>
      </c>
      <c r="P709" s="2" t="s">
        <v>14</v>
      </c>
    </row>
    <row r="710" spans="1:16" x14ac:dyDescent="0.25">
      <c r="A710">
        <v>22918</v>
      </c>
      <c r="B710" s="2" t="s">
        <v>32</v>
      </c>
      <c r="C710" s="2" t="s">
        <v>34</v>
      </c>
      <c r="D710" s="4">
        <v>80000</v>
      </c>
      <c r="E71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0">
        <v>5</v>
      </c>
      <c r="G710" s="2" t="s">
        <v>29</v>
      </c>
      <c r="H710" s="2" t="s">
        <v>27</v>
      </c>
      <c r="I710" t="s">
        <v>14</v>
      </c>
      <c r="J710">
        <v>3</v>
      </c>
      <c r="K710" t="s">
        <v>15</v>
      </c>
      <c r="L710" s="2" t="s">
        <v>23</v>
      </c>
      <c r="M710" s="4">
        <v>50</v>
      </c>
      <c r="N710" s="4" t="str">
        <f>IF(Bike_Data[[#This Row],[Age]]&gt;=54,"Old",IF(Bike_Data[[#This Row],[Age]]&lt;30,"Young Adult","Middle Age"))</f>
        <v>Middle Age</v>
      </c>
      <c r="O710" s="5">
        <f t="shared" ca="1" si="11"/>
        <v>35894</v>
      </c>
      <c r="P710" s="2" t="s">
        <v>17</v>
      </c>
    </row>
    <row r="711" spans="1:16" x14ac:dyDescent="0.25">
      <c r="A711">
        <v>19784</v>
      </c>
      <c r="B711" s="2" t="s">
        <v>31</v>
      </c>
      <c r="C711" s="2" t="s">
        <v>33</v>
      </c>
      <c r="D711" s="4">
        <v>80000</v>
      </c>
      <c r="E71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1">
        <v>2</v>
      </c>
      <c r="G711" s="2" t="s">
        <v>26</v>
      </c>
      <c r="H711" s="2" t="s">
        <v>13</v>
      </c>
      <c r="I711" t="s">
        <v>14</v>
      </c>
      <c r="J711">
        <v>2</v>
      </c>
      <c r="K711" t="s">
        <v>22</v>
      </c>
      <c r="L711" s="2" t="s">
        <v>23</v>
      </c>
      <c r="M711" s="4">
        <v>50</v>
      </c>
      <c r="N711" s="4" t="str">
        <f>IF(Bike_Data[[#This Row],[Age]]&gt;=54,"Old",IF(Bike_Data[[#This Row],[Age]]&lt;30,"Young Adult","Middle Age"))</f>
        <v>Middle Age</v>
      </c>
      <c r="O711" s="5">
        <f t="shared" ca="1" si="11"/>
        <v>30122</v>
      </c>
      <c r="P711" s="2" t="s">
        <v>14</v>
      </c>
    </row>
    <row r="712" spans="1:16" x14ac:dyDescent="0.25">
      <c r="A712">
        <v>26385</v>
      </c>
      <c r="B712" s="2" t="s">
        <v>32</v>
      </c>
      <c r="C712" s="2" t="s">
        <v>34</v>
      </c>
      <c r="D712" s="4">
        <v>120000</v>
      </c>
      <c r="E71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12">
        <v>3</v>
      </c>
      <c r="G712" s="2" t="s">
        <v>26</v>
      </c>
      <c r="H712" s="2" t="s">
        <v>20</v>
      </c>
      <c r="I712" t="s">
        <v>17</v>
      </c>
      <c r="J712">
        <v>4</v>
      </c>
      <c r="K712" t="s">
        <v>22</v>
      </c>
      <c r="L712" s="2" t="s">
        <v>16</v>
      </c>
      <c r="M712" s="4">
        <v>50</v>
      </c>
      <c r="N712" s="4" t="str">
        <f>IF(Bike_Data[[#This Row],[Age]]&gt;=54,"Old",IF(Bike_Data[[#This Row],[Age]]&lt;30,"Young Adult","Middle Age"))</f>
        <v>Middle Age</v>
      </c>
      <c r="O712" s="5">
        <f t="shared" ca="1" si="11"/>
        <v>36015</v>
      </c>
      <c r="P712" s="2" t="s">
        <v>17</v>
      </c>
    </row>
    <row r="713" spans="1:16" x14ac:dyDescent="0.25">
      <c r="A713">
        <v>14032</v>
      </c>
      <c r="B713" s="2" t="s">
        <v>31</v>
      </c>
      <c r="C713" s="2" t="s">
        <v>34</v>
      </c>
      <c r="D713" s="4">
        <v>70000</v>
      </c>
      <c r="E71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3">
        <v>2</v>
      </c>
      <c r="G713" s="2" t="s">
        <v>26</v>
      </c>
      <c r="H713" s="2" t="s">
        <v>13</v>
      </c>
      <c r="I713" t="s">
        <v>17</v>
      </c>
      <c r="J713">
        <v>2</v>
      </c>
      <c r="K713" t="s">
        <v>25</v>
      </c>
      <c r="L713" s="2" t="s">
        <v>23</v>
      </c>
      <c r="M713" s="4">
        <v>50</v>
      </c>
      <c r="N713" s="4" t="str">
        <f>IF(Bike_Data[[#This Row],[Age]]&gt;=54,"Old",IF(Bike_Data[[#This Row],[Age]]&lt;30,"Young Adult","Middle Age"))</f>
        <v>Middle Age</v>
      </c>
      <c r="O713" s="5">
        <f t="shared" ca="1" si="11"/>
        <v>36244</v>
      </c>
      <c r="P713" s="2" t="s">
        <v>14</v>
      </c>
    </row>
    <row r="714" spans="1:16" x14ac:dyDescent="0.25">
      <c r="A714">
        <v>21741</v>
      </c>
      <c r="B714" s="2" t="s">
        <v>31</v>
      </c>
      <c r="C714" s="2" t="s">
        <v>33</v>
      </c>
      <c r="D714" s="4">
        <v>70000</v>
      </c>
      <c r="E71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4">
        <v>3</v>
      </c>
      <c r="G714" s="2" t="s">
        <v>18</v>
      </c>
      <c r="H714" s="2" t="s">
        <v>20</v>
      </c>
      <c r="I714" t="s">
        <v>14</v>
      </c>
      <c r="J714">
        <v>2</v>
      </c>
      <c r="K714" t="s">
        <v>22</v>
      </c>
      <c r="L714" s="2" t="s">
        <v>30</v>
      </c>
      <c r="M714" s="4">
        <v>50</v>
      </c>
      <c r="N714" s="4" t="str">
        <f>IF(Bike_Data[[#This Row],[Age]]&gt;=54,"Old",IF(Bike_Data[[#This Row],[Age]]&lt;30,"Young Adult","Middle Age"))</f>
        <v>Middle Age</v>
      </c>
      <c r="O714" s="5">
        <f t="shared" ca="1" si="11"/>
        <v>26620</v>
      </c>
      <c r="P714" s="2" t="s">
        <v>14</v>
      </c>
    </row>
    <row r="715" spans="1:16" x14ac:dyDescent="0.25">
      <c r="A715">
        <v>17531</v>
      </c>
      <c r="B715" s="2" t="s">
        <v>31</v>
      </c>
      <c r="C715" s="2" t="s">
        <v>34</v>
      </c>
      <c r="D715" s="4">
        <v>60000</v>
      </c>
      <c r="E71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5">
        <v>2</v>
      </c>
      <c r="G715" s="2" t="s">
        <v>26</v>
      </c>
      <c r="H715" s="2" t="s">
        <v>20</v>
      </c>
      <c r="I715" t="s">
        <v>17</v>
      </c>
      <c r="J715">
        <v>2</v>
      </c>
      <c r="K715" t="s">
        <v>22</v>
      </c>
      <c r="L715" s="2" t="s">
        <v>30</v>
      </c>
      <c r="M715" s="4">
        <v>50</v>
      </c>
      <c r="N715" s="4" t="str">
        <f>IF(Bike_Data[[#This Row],[Age]]&gt;=54,"Old",IF(Bike_Data[[#This Row],[Age]]&lt;30,"Young Adult","Middle Age"))</f>
        <v>Middle Age</v>
      </c>
      <c r="O715" s="5">
        <f t="shared" ca="1" si="11"/>
        <v>29355</v>
      </c>
      <c r="P715" s="2" t="s">
        <v>17</v>
      </c>
    </row>
    <row r="716" spans="1:16" x14ac:dyDescent="0.25">
      <c r="A716">
        <v>22227</v>
      </c>
      <c r="B716" s="2" t="s">
        <v>31</v>
      </c>
      <c r="C716" s="2" t="s">
        <v>33</v>
      </c>
      <c r="D716" s="4">
        <v>60000</v>
      </c>
      <c r="E71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6">
        <v>2</v>
      </c>
      <c r="G716" s="2" t="s">
        <v>26</v>
      </c>
      <c r="H716" s="2" t="s">
        <v>20</v>
      </c>
      <c r="I716" t="s">
        <v>14</v>
      </c>
      <c r="J716">
        <v>2</v>
      </c>
      <c r="K716" t="s">
        <v>22</v>
      </c>
      <c r="L716" s="2" t="s">
        <v>30</v>
      </c>
      <c r="M716" s="4">
        <v>50</v>
      </c>
      <c r="N716" s="4" t="str">
        <f>IF(Bike_Data[[#This Row],[Age]]&gt;=54,"Old",IF(Bike_Data[[#This Row],[Age]]&lt;30,"Young Adult","Middle Age"))</f>
        <v>Middle Age</v>
      </c>
      <c r="O716" s="5">
        <f t="shared" ca="1" si="11"/>
        <v>34356</v>
      </c>
      <c r="P716" s="2" t="s">
        <v>17</v>
      </c>
    </row>
    <row r="717" spans="1:16" x14ac:dyDescent="0.25">
      <c r="A717">
        <v>20758</v>
      </c>
      <c r="B717" s="2" t="s">
        <v>31</v>
      </c>
      <c r="C717" s="2" t="s">
        <v>34</v>
      </c>
      <c r="D717" s="4">
        <v>30000</v>
      </c>
      <c r="E71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17">
        <v>2</v>
      </c>
      <c r="G717" s="2" t="s">
        <v>26</v>
      </c>
      <c r="H717" s="2" t="s">
        <v>13</v>
      </c>
      <c r="I717" t="s">
        <v>14</v>
      </c>
      <c r="J717">
        <v>2</v>
      </c>
      <c r="K717" t="s">
        <v>25</v>
      </c>
      <c r="L717" s="2" t="s">
        <v>30</v>
      </c>
      <c r="M717" s="4">
        <v>50</v>
      </c>
      <c r="N717" s="4" t="str">
        <f>IF(Bike_Data[[#This Row],[Age]]&gt;=54,"Old",IF(Bike_Data[[#This Row],[Age]]&lt;30,"Young Adult","Middle Age"))</f>
        <v>Middle Age</v>
      </c>
      <c r="O717" s="5">
        <f t="shared" ca="1" si="11"/>
        <v>26830</v>
      </c>
      <c r="P717" s="2" t="s">
        <v>17</v>
      </c>
    </row>
    <row r="718" spans="1:16" x14ac:dyDescent="0.25">
      <c r="A718">
        <v>23797</v>
      </c>
      <c r="B718" s="2" t="s">
        <v>32</v>
      </c>
      <c r="C718" s="2" t="s">
        <v>34</v>
      </c>
      <c r="D718" s="4">
        <v>20000</v>
      </c>
      <c r="E71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18">
        <v>3</v>
      </c>
      <c r="G718" s="2" t="s">
        <v>28</v>
      </c>
      <c r="H718" s="2" t="s">
        <v>19</v>
      </c>
      <c r="I718" t="s">
        <v>17</v>
      </c>
      <c r="J718">
        <v>2</v>
      </c>
      <c r="K718" t="s">
        <v>15</v>
      </c>
      <c r="L718" s="2" t="s">
        <v>30</v>
      </c>
      <c r="M718" s="4">
        <v>50</v>
      </c>
      <c r="N718" s="4" t="str">
        <f>IF(Bike_Data[[#This Row],[Age]]&gt;=54,"Old",IF(Bike_Data[[#This Row],[Age]]&lt;30,"Young Adult","Middle Age"))</f>
        <v>Middle Age</v>
      </c>
      <c r="O718" s="5">
        <f t="shared" ca="1" si="11"/>
        <v>32876</v>
      </c>
      <c r="P718" s="2" t="s">
        <v>17</v>
      </c>
    </row>
    <row r="719" spans="1:16" x14ac:dyDescent="0.25">
      <c r="A719">
        <v>15372</v>
      </c>
      <c r="B719" s="2" t="s">
        <v>31</v>
      </c>
      <c r="C719" s="2" t="s">
        <v>34</v>
      </c>
      <c r="D719" s="4">
        <v>80000</v>
      </c>
      <c r="E71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19">
        <v>3</v>
      </c>
      <c r="G719" s="2" t="s">
        <v>18</v>
      </c>
      <c r="H719" s="2" t="s">
        <v>20</v>
      </c>
      <c r="I719" t="s">
        <v>17</v>
      </c>
      <c r="J719">
        <v>2</v>
      </c>
      <c r="K719" t="s">
        <v>21</v>
      </c>
      <c r="L719" s="2" t="s">
        <v>30</v>
      </c>
      <c r="M719" s="4">
        <v>50</v>
      </c>
      <c r="N719" s="4" t="str">
        <f>IF(Bike_Data[[#This Row],[Age]]&gt;=54,"Old",IF(Bike_Data[[#This Row],[Age]]&lt;30,"Young Adult","Middle Age"))</f>
        <v>Middle Age</v>
      </c>
      <c r="O719" s="5">
        <f t="shared" ca="1" si="11"/>
        <v>29378</v>
      </c>
      <c r="P719" s="2" t="s">
        <v>14</v>
      </c>
    </row>
    <row r="720" spans="1:16" x14ac:dyDescent="0.25">
      <c r="A720">
        <v>28228</v>
      </c>
      <c r="B720" s="2" t="s">
        <v>32</v>
      </c>
      <c r="C720" s="2" t="s">
        <v>33</v>
      </c>
      <c r="D720" s="4">
        <v>80000</v>
      </c>
      <c r="E72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20">
        <v>2</v>
      </c>
      <c r="G720" s="2" t="s">
        <v>28</v>
      </c>
      <c r="H720" s="2" t="s">
        <v>13</v>
      </c>
      <c r="I720" t="s">
        <v>17</v>
      </c>
      <c r="J720">
        <v>2</v>
      </c>
      <c r="K720" t="s">
        <v>25</v>
      </c>
      <c r="L720" s="2" t="s">
        <v>30</v>
      </c>
      <c r="M720" s="4">
        <v>50</v>
      </c>
      <c r="N720" s="4" t="str">
        <f>IF(Bike_Data[[#This Row],[Age]]&gt;=54,"Old",IF(Bike_Data[[#This Row],[Age]]&lt;30,"Young Adult","Middle Age"))</f>
        <v>Middle Age</v>
      </c>
      <c r="O720" s="5">
        <f t="shared" ca="1" si="11"/>
        <v>37753</v>
      </c>
      <c r="P720" s="2" t="s">
        <v>17</v>
      </c>
    </row>
    <row r="721" spans="1:16" x14ac:dyDescent="0.25">
      <c r="A721">
        <v>17668</v>
      </c>
      <c r="B721" s="2" t="s">
        <v>32</v>
      </c>
      <c r="C721" s="2" t="s">
        <v>34</v>
      </c>
      <c r="D721" s="4">
        <v>30000</v>
      </c>
      <c r="E72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21">
        <v>2</v>
      </c>
      <c r="G721" s="2" t="s">
        <v>26</v>
      </c>
      <c r="H721" s="2" t="s">
        <v>13</v>
      </c>
      <c r="I721" t="s">
        <v>14</v>
      </c>
      <c r="J721">
        <v>2</v>
      </c>
      <c r="K721" t="s">
        <v>25</v>
      </c>
      <c r="L721" s="2" t="s">
        <v>30</v>
      </c>
      <c r="M721" s="4">
        <v>50</v>
      </c>
      <c r="N721" s="4" t="str">
        <f>IF(Bike_Data[[#This Row],[Age]]&gt;=54,"Old",IF(Bike_Data[[#This Row],[Age]]&lt;30,"Young Adult","Middle Age"))</f>
        <v>Middle Age</v>
      </c>
      <c r="O721" s="5">
        <f t="shared" ca="1" si="11"/>
        <v>33798</v>
      </c>
      <c r="P721" s="2" t="s">
        <v>14</v>
      </c>
    </row>
    <row r="722" spans="1:16" x14ac:dyDescent="0.25">
      <c r="A722">
        <v>23041</v>
      </c>
      <c r="B722" s="2" t="s">
        <v>32</v>
      </c>
      <c r="C722" s="2" t="s">
        <v>33</v>
      </c>
      <c r="D722" s="4">
        <v>70000</v>
      </c>
      <c r="E72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22">
        <v>4</v>
      </c>
      <c r="G722" s="2" t="s">
        <v>26</v>
      </c>
      <c r="H722" s="2" t="s">
        <v>20</v>
      </c>
      <c r="I722" t="s">
        <v>14</v>
      </c>
      <c r="J722">
        <v>0</v>
      </c>
      <c r="K722" t="s">
        <v>22</v>
      </c>
      <c r="L722" s="2" t="s">
        <v>30</v>
      </c>
      <c r="M722" s="4">
        <v>50</v>
      </c>
      <c r="N722" s="4" t="str">
        <f>IF(Bike_Data[[#This Row],[Age]]&gt;=54,"Old",IF(Bike_Data[[#This Row],[Age]]&lt;30,"Young Adult","Middle Age"))</f>
        <v>Middle Age</v>
      </c>
      <c r="O722" s="5">
        <f t="shared" ca="1" si="11"/>
        <v>34062</v>
      </c>
      <c r="P722" s="2" t="s">
        <v>14</v>
      </c>
    </row>
    <row r="723" spans="1:16" x14ac:dyDescent="0.25">
      <c r="A723">
        <v>25343</v>
      </c>
      <c r="B723" s="2" t="s">
        <v>32</v>
      </c>
      <c r="C723" s="2" t="s">
        <v>33</v>
      </c>
      <c r="D723" s="4">
        <v>20000</v>
      </c>
      <c r="E72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23">
        <v>3</v>
      </c>
      <c r="G723" s="2" t="s">
        <v>28</v>
      </c>
      <c r="H723" s="2" t="s">
        <v>19</v>
      </c>
      <c r="I723" t="s">
        <v>14</v>
      </c>
      <c r="J723">
        <v>2</v>
      </c>
      <c r="K723" t="s">
        <v>25</v>
      </c>
      <c r="L723" s="2" t="s">
        <v>30</v>
      </c>
      <c r="M723" s="4">
        <v>50</v>
      </c>
      <c r="N723" s="4" t="str">
        <f>IF(Bike_Data[[#This Row],[Age]]&gt;=54,"Old",IF(Bike_Data[[#This Row],[Age]]&lt;30,"Young Adult","Middle Age"))</f>
        <v>Middle Age</v>
      </c>
      <c r="O723" s="5">
        <f t="shared" ca="1" si="11"/>
        <v>35191</v>
      </c>
      <c r="P723" s="2" t="s">
        <v>17</v>
      </c>
    </row>
    <row r="724" spans="1:16" x14ac:dyDescent="0.25">
      <c r="A724">
        <v>23459</v>
      </c>
      <c r="B724" s="2" t="s">
        <v>31</v>
      </c>
      <c r="C724" s="2" t="s">
        <v>34</v>
      </c>
      <c r="D724" s="4">
        <v>60000</v>
      </c>
      <c r="E72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24">
        <v>2</v>
      </c>
      <c r="G724" s="2" t="s">
        <v>26</v>
      </c>
      <c r="H724" s="2" t="s">
        <v>20</v>
      </c>
      <c r="I724" t="s">
        <v>14</v>
      </c>
      <c r="J724">
        <v>2</v>
      </c>
      <c r="K724" t="s">
        <v>22</v>
      </c>
      <c r="L724" s="2" t="s">
        <v>30</v>
      </c>
      <c r="M724" s="4">
        <v>50</v>
      </c>
      <c r="N724" s="4" t="str">
        <f>IF(Bike_Data[[#This Row],[Age]]&gt;=54,"Old",IF(Bike_Data[[#This Row],[Age]]&lt;30,"Young Adult","Middle Age"))</f>
        <v>Middle Age</v>
      </c>
      <c r="O724" s="5">
        <f t="shared" ca="1" si="11"/>
        <v>33451</v>
      </c>
      <c r="P724" s="2" t="s">
        <v>17</v>
      </c>
    </row>
    <row r="725" spans="1:16" x14ac:dyDescent="0.25">
      <c r="A725">
        <v>23455</v>
      </c>
      <c r="B725" s="2" t="s">
        <v>32</v>
      </c>
      <c r="C725" s="2" t="s">
        <v>34</v>
      </c>
      <c r="D725" s="4">
        <v>80000</v>
      </c>
      <c r="E72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25">
        <v>2</v>
      </c>
      <c r="G725" s="2" t="s">
        <v>28</v>
      </c>
      <c r="H725" s="2" t="s">
        <v>13</v>
      </c>
      <c r="I725" t="s">
        <v>17</v>
      </c>
      <c r="J725">
        <v>2</v>
      </c>
      <c r="K725" t="s">
        <v>25</v>
      </c>
      <c r="L725" s="2" t="s">
        <v>30</v>
      </c>
      <c r="M725" s="4">
        <v>50</v>
      </c>
      <c r="N725" s="4" t="str">
        <f>IF(Bike_Data[[#This Row],[Age]]&gt;=54,"Old",IF(Bike_Data[[#This Row],[Age]]&lt;30,"Young Adult","Middle Age"))</f>
        <v>Middle Age</v>
      </c>
      <c r="O725" s="5">
        <f t="shared" ca="1" si="11"/>
        <v>37552</v>
      </c>
      <c r="P725" s="2" t="s">
        <v>17</v>
      </c>
    </row>
    <row r="726" spans="1:16" x14ac:dyDescent="0.25">
      <c r="A726">
        <v>17191</v>
      </c>
      <c r="B726" s="2" t="s">
        <v>32</v>
      </c>
      <c r="C726" s="2" t="s">
        <v>34</v>
      </c>
      <c r="D726" s="4">
        <v>130000</v>
      </c>
      <c r="E72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26">
        <v>3</v>
      </c>
      <c r="G726" s="2" t="s">
        <v>18</v>
      </c>
      <c r="H726" s="2" t="s">
        <v>20</v>
      </c>
      <c r="I726" t="s">
        <v>17</v>
      </c>
      <c r="J726">
        <v>3</v>
      </c>
      <c r="K726" t="s">
        <v>15</v>
      </c>
      <c r="L726" s="2" t="s">
        <v>16</v>
      </c>
      <c r="M726" s="4">
        <v>51</v>
      </c>
      <c r="N726" s="4" t="str">
        <f>IF(Bike_Data[[#This Row],[Age]]&gt;=54,"Old",IF(Bike_Data[[#This Row],[Age]]&lt;30,"Young Adult","Middle Age"))</f>
        <v>Middle Age</v>
      </c>
      <c r="O726" s="5">
        <f t="shared" ca="1" si="11"/>
        <v>37293</v>
      </c>
      <c r="P726" s="2" t="s">
        <v>14</v>
      </c>
    </row>
    <row r="727" spans="1:16" x14ac:dyDescent="0.25">
      <c r="A727">
        <v>24842</v>
      </c>
      <c r="B727" s="2" t="s">
        <v>32</v>
      </c>
      <c r="C727" s="2" t="s">
        <v>33</v>
      </c>
      <c r="D727" s="4">
        <v>90000</v>
      </c>
      <c r="E72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27">
        <v>3</v>
      </c>
      <c r="G727" s="2" t="s">
        <v>26</v>
      </c>
      <c r="H727" s="2" t="s">
        <v>20</v>
      </c>
      <c r="I727" t="s">
        <v>17</v>
      </c>
      <c r="J727">
        <v>1</v>
      </c>
      <c r="K727" t="s">
        <v>21</v>
      </c>
      <c r="L727" s="2" t="s">
        <v>16</v>
      </c>
      <c r="M727" s="4">
        <v>51</v>
      </c>
      <c r="N727" s="4" t="str">
        <f>IF(Bike_Data[[#This Row],[Age]]&gt;=54,"Old",IF(Bike_Data[[#This Row],[Age]]&lt;30,"Young Adult","Middle Age"))</f>
        <v>Middle Age</v>
      </c>
      <c r="O727" s="5">
        <f t="shared" ca="1" si="11"/>
        <v>35373</v>
      </c>
      <c r="P727" s="2" t="s">
        <v>17</v>
      </c>
    </row>
    <row r="728" spans="1:16" x14ac:dyDescent="0.25">
      <c r="A728">
        <v>11249</v>
      </c>
      <c r="B728" s="2" t="s">
        <v>31</v>
      </c>
      <c r="C728" s="2" t="s">
        <v>33</v>
      </c>
      <c r="D728" s="4">
        <v>130000</v>
      </c>
      <c r="E728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28">
        <v>3</v>
      </c>
      <c r="G728" s="2" t="s">
        <v>18</v>
      </c>
      <c r="H728" s="2" t="s">
        <v>20</v>
      </c>
      <c r="I728" t="s">
        <v>14</v>
      </c>
      <c r="J728">
        <v>3</v>
      </c>
      <c r="K728" t="s">
        <v>15</v>
      </c>
      <c r="L728" s="2" t="s">
        <v>16</v>
      </c>
      <c r="M728" s="4">
        <v>51</v>
      </c>
      <c r="N728" s="4" t="str">
        <f>IF(Bike_Data[[#This Row],[Age]]&gt;=54,"Old",IF(Bike_Data[[#This Row],[Age]]&lt;30,"Young Adult","Middle Age"))</f>
        <v>Middle Age</v>
      </c>
      <c r="O728" s="5">
        <f t="shared" ca="1" si="11"/>
        <v>28032</v>
      </c>
      <c r="P728" s="2" t="s">
        <v>14</v>
      </c>
    </row>
    <row r="729" spans="1:16" x14ac:dyDescent="0.25">
      <c r="A729">
        <v>28468</v>
      </c>
      <c r="B729" s="2" t="s">
        <v>31</v>
      </c>
      <c r="C729" s="2" t="s">
        <v>33</v>
      </c>
      <c r="D729" s="4">
        <v>10000</v>
      </c>
      <c r="E72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29">
        <v>2</v>
      </c>
      <c r="G729" s="2" t="s">
        <v>18</v>
      </c>
      <c r="H729" s="2" t="s">
        <v>24</v>
      </c>
      <c r="I729" t="s">
        <v>14</v>
      </c>
      <c r="J729">
        <v>0</v>
      </c>
      <c r="K729" t="s">
        <v>25</v>
      </c>
      <c r="L729" s="2" t="s">
        <v>16</v>
      </c>
      <c r="M729" s="4">
        <v>51</v>
      </c>
      <c r="N729" s="4" t="str">
        <f>IF(Bike_Data[[#This Row],[Age]]&gt;=54,"Old",IF(Bike_Data[[#This Row],[Age]]&lt;30,"Young Adult","Middle Age"))</f>
        <v>Middle Age</v>
      </c>
      <c r="O729" s="5">
        <f t="shared" ca="1" si="11"/>
        <v>37005</v>
      </c>
      <c r="P729" s="2" t="s">
        <v>17</v>
      </c>
    </row>
    <row r="730" spans="1:16" x14ac:dyDescent="0.25">
      <c r="A730">
        <v>12231</v>
      </c>
      <c r="B730" s="2" t="s">
        <v>32</v>
      </c>
      <c r="C730" s="2" t="s">
        <v>33</v>
      </c>
      <c r="D730" s="4">
        <v>10000</v>
      </c>
      <c r="E7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30">
        <v>2</v>
      </c>
      <c r="G730" s="2" t="s">
        <v>18</v>
      </c>
      <c r="H730" s="2" t="s">
        <v>24</v>
      </c>
      <c r="I730" t="s">
        <v>14</v>
      </c>
      <c r="J730">
        <v>0</v>
      </c>
      <c r="K730" t="s">
        <v>15</v>
      </c>
      <c r="L730" s="2" t="s">
        <v>16</v>
      </c>
      <c r="M730" s="4">
        <v>51</v>
      </c>
      <c r="N730" s="4" t="str">
        <f>IF(Bike_Data[[#This Row],[Age]]&gt;=54,"Old",IF(Bike_Data[[#This Row],[Age]]&lt;30,"Young Adult","Middle Age"))</f>
        <v>Middle Age</v>
      </c>
      <c r="O730" s="5">
        <f t="shared" ca="1" si="11"/>
        <v>27756</v>
      </c>
      <c r="P730" s="2" t="s">
        <v>14</v>
      </c>
    </row>
    <row r="731" spans="1:16" x14ac:dyDescent="0.25">
      <c r="A731">
        <v>18160</v>
      </c>
      <c r="B731" s="2" t="s">
        <v>31</v>
      </c>
      <c r="C731" s="2" t="s">
        <v>34</v>
      </c>
      <c r="D731" s="4">
        <v>130000</v>
      </c>
      <c r="E731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31">
        <v>3</v>
      </c>
      <c r="G731" s="2" t="s">
        <v>26</v>
      </c>
      <c r="H731" s="2" t="s">
        <v>20</v>
      </c>
      <c r="I731" t="s">
        <v>14</v>
      </c>
      <c r="J731">
        <v>4</v>
      </c>
      <c r="K731" t="s">
        <v>22</v>
      </c>
      <c r="L731" s="2" t="s">
        <v>16</v>
      </c>
      <c r="M731" s="4">
        <v>51</v>
      </c>
      <c r="N731" s="4" t="str">
        <f>IF(Bike_Data[[#This Row],[Age]]&gt;=54,"Old",IF(Bike_Data[[#This Row],[Age]]&lt;30,"Young Adult","Middle Age"))</f>
        <v>Middle Age</v>
      </c>
      <c r="O731" s="5">
        <f t="shared" ca="1" si="11"/>
        <v>35874</v>
      </c>
      <c r="P731" s="2" t="s">
        <v>14</v>
      </c>
    </row>
    <row r="732" spans="1:16" x14ac:dyDescent="0.25">
      <c r="A732">
        <v>23608</v>
      </c>
      <c r="B732" s="2" t="s">
        <v>31</v>
      </c>
      <c r="C732" s="2" t="s">
        <v>33</v>
      </c>
      <c r="D732" s="4">
        <v>150000</v>
      </c>
      <c r="E73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32">
        <v>3</v>
      </c>
      <c r="G732" s="2" t="s">
        <v>26</v>
      </c>
      <c r="H732" s="2" t="s">
        <v>20</v>
      </c>
      <c r="I732" t="s">
        <v>14</v>
      </c>
      <c r="J732">
        <v>3</v>
      </c>
      <c r="K732" t="s">
        <v>15</v>
      </c>
      <c r="L732" s="2" t="s">
        <v>16</v>
      </c>
      <c r="M732" s="4">
        <v>51</v>
      </c>
      <c r="N732" s="4" t="str">
        <f>IF(Bike_Data[[#This Row],[Age]]&gt;=54,"Old",IF(Bike_Data[[#This Row],[Age]]&lt;30,"Young Adult","Middle Age"))</f>
        <v>Middle Age</v>
      </c>
      <c r="O732" s="5">
        <f t="shared" ca="1" si="11"/>
        <v>26636</v>
      </c>
      <c r="P732" s="2" t="s">
        <v>14</v>
      </c>
    </row>
    <row r="733" spans="1:16" x14ac:dyDescent="0.25">
      <c r="A733">
        <v>18140</v>
      </c>
      <c r="B733" s="2" t="s">
        <v>31</v>
      </c>
      <c r="C733" s="2" t="s">
        <v>34</v>
      </c>
      <c r="D733" s="4">
        <v>130000</v>
      </c>
      <c r="E73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33">
        <v>3</v>
      </c>
      <c r="G733" s="2" t="s">
        <v>18</v>
      </c>
      <c r="H733" s="2" t="s">
        <v>20</v>
      </c>
      <c r="I733" t="s">
        <v>17</v>
      </c>
      <c r="J733">
        <v>3</v>
      </c>
      <c r="K733" t="s">
        <v>22</v>
      </c>
      <c r="L733" s="2" t="s">
        <v>16</v>
      </c>
      <c r="M733" s="4">
        <v>51</v>
      </c>
      <c r="N733" s="4" t="str">
        <f>IF(Bike_Data[[#This Row],[Age]]&gt;=54,"Old",IF(Bike_Data[[#This Row],[Age]]&lt;30,"Young Adult","Middle Age"))</f>
        <v>Middle Age</v>
      </c>
      <c r="O733" s="5">
        <f t="shared" ca="1" si="11"/>
        <v>26923</v>
      </c>
      <c r="P733" s="2" t="s">
        <v>14</v>
      </c>
    </row>
    <row r="734" spans="1:16" x14ac:dyDescent="0.25">
      <c r="A734">
        <v>24151</v>
      </c>
      <c r="B734" s="2" t="s">
        <v>32</v>
      </c>
      <c r="C734" s="2" t="s">
        <v>34</v>
      </c>
      <c r="D734" s="4">
        <v>20000</v>
      </c>
      <c r="E73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34">
        <v>1</v>
      </c>
      <c r="G734" s="2" t="s">
        <v>12</v>
      </c>
      <c r="H734" s="2" t="s">
        <v>19</v>
      </c>
      <c r="I734" t="s">
        <v>17</v>
      </c>
      <c r="J734">
        <v>0</v>
      </c>
      <c r="K734" t="s">
        <v>15</v>
      </c>
      <c r="L734" s="2" t="s">
        <v>16</v>
      </c>
      <c r="M734" s="4">
        <v>51</v>
      </c>
      <c r="N734" s="4" t="str">
        <f>IF(Bike_Data[[#This Row],[Age]]&gt;=54,"Old",IF(Bike_Data[[#This Row],[Age]]&lt;30,"Young Adult","Middle Age"))</f>
        <v>Middle Age</v>
      </c>
      <c r="O734" s="5">
        <f t="shared" ca="1" si="11"/>
        <v>35775</v>
      </c>
      <c r="P734" s="2" t="s">
        <v>17</v>
      </c>
    </row>
    <row r="735" spans="1:16" x14ac:dyDescent="0.25">
      <c r="A735">
        <v>19255</v>
      </c>
      <c r="B735" s="2" t="s">
        <v>32</v>
      </c>
      <c r="C735" s="2" t="s">
        <v>34</v>
      </c>
      <c r="D735" s="4">
        <v>10000</v>
      </c>
      <c r="E73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35">
        <v>2</v>
      </c>
      <c r="G735" s="2" t="s">
        <v>18</v>
      </c>
      <c r="H735" s="2" t="s">
        <v>24</v>
      </c>
      <c r="I735" t="s">
        <v>14</v>
      </c>
      <c r="J735">
        <v>1</v>
      </c>
      <c r="K735" t="s">
        <v>15</v>
      </c>
      <c r="L735" s="2" t="s">
        <v>16</v>
      </c>
      <c r="M735" s="4">
        <v>51</v>
      </c>
      <c r="N735" s="4" t="str">
        <f>IF(Bike_Data[[#This Row],[Age]]&gt;=54,"Old",IF(Bike_Data[[#This Row],[Age]]&lt;30,"Young Adult","Middle Age"))</f>
        <v>Middle Age</v>
      </c>
      <c r="O735" s="5">
        <f t="shared" ca="1" si="11"/>
        <v>27569</v>
      </c>
      <c r="P735" s="2" t="s">
        <v>14</v>
      </c>
    </row>
    <row r="736" spans="1:16" x14ac:dyDescent="0.25">
      <c r="A736">
        <v>14547</v>
      </c>
      <c r="B736" s="2" t="s">
        <v>31</v>
      </c>
      <c r="C736" s="2" t="s">
        <v>34</v>
      </c>
      <c r="D736" s="4">
        <v>10000</v>
      </c>
      <c r="E73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36">
        <v>2</v>
      </c>
      <c r="G736" s="2" t="s">
        <v>18</v>
      </c>
      <c r="H736" s="2" t="s">
        <v>24</v>
      </c>
      <c r="I736" t="s">
        <v>14</v>
      </c>
      <c r="J736">
        <v>0</v>
      </c>
      <c r="K736" t="s">
        <v>25</v>
      </c>
      <c r="L736" s="2" t="s">
        <v>16</v>
      </c>
      <c r="M736" s="4">
        <v>51</v>
      </c>
      <c r="N736" s="4" t="str">
        <f>IF(Bike_Data[[#This Row],[Age]]&gt;=54,"Old",IF(Bike_Data[[#This Row],[Age]]&lt;30,"Young Adult","Middle Age"))</f>
        <v>Middle Age</v>
      </c>
      <c r="O736" s="5">
        <f t="shared" ca="1" si="11"/>
        <v>30599</v>
      </c>
      <c r="P736" s="2" t="s">
        <v>17</v>
      </c>
    </row>
    <row r="737" spans="1:16" x14ac:dyDescent="0.25">
      <c r="A737">
        <v>27650</v>
      </c>
      <c r="B737" s="2" t="s">
        <v>31</v>
      </c>
      <c r="C737" s="2" t="s">
        <v>34</v>
      </c>
      <c r="D737" s="4">
        <v>70000</v>
      </c>
      <c r="E73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37">
        <v>4</v>
      </c>
      <c r="G737" s="2" t="s">
        <v>26</v>
      </c>
      <c r="H737" s="2" t="s">
        <v>20</v>
      </c>
      <c r="I737" t="s">
        <v>14</v>
      </c>
      <c r="J737">
        <v>0</v>
      </c>
      <c r="K737" t="s">
        <v>22</v>
      </c>
      <c r="L737" s="2" t="s">
        <v>30</v>
      </c>
      <c r="M737" s="4">
        <v>51</v>
      </c>
      <c r="N737" s="4" t="str">
        <f>IF(Bike_Data[[#This Row],[Age]]&gt;=54,"Old",IF(Bike_Data[[#This Row],[Age]]&lt;30,"Young Adult","Middle Age"))</f>
        <v>Middle Age</v>
      </c>
      <c r="O737" s="5">
        <f t="shared" ca="1" si="11"/>
        <v>31008</v>
      </c>
      <c r="P737" s="2" t="s">
        <v>17</v>
      </c>
    </row>
    <row r="738" spans="1:16" x14ac:dyDescent="0.25">
      <c r="A738">
        <v>24738</v>
      </c>
      <c r="B738" s="2" t="s">
        <v>31</v>
      </c>
      <c r="C738" s="2" t="s">
        <v>33</v>
      </c>
      <c r="D738" s="4">
        <v>40000</v>
      </c>
      <c r="E73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38">
        <v>1</v>
      </c>
      <c r="G738" s="2" t="s">
        <v>18</v>
      </c>
      <c r="H738" s="2" t="s">
        <v>19</v>
      </c>
      <c r="I738" t="s">
        <v>14</v>
      </c>
      <c r="J738">
        <v>1</v>
      </c>
      <c r="K738" t="s">
        <v>25</v>
      </c>
      <c r="L738" s="2" t="s">
        <v>30</v>
      </c>
      <c r="M738" s="4">
        <v>51</v>
      </c>
      <c r="N738" s="4" t="str">
        <f>IF(Bike_Data[[#This Row],[Age]]&gt;=54,"Old",IF(Bike_Data[[#This Row],[Age]]&lt;30,"Young Adult","Middle Age"))</f>
        <v>Middle Age</v>
      </c>
      <c r="O738" s="5">
        <f t="shared" ca="1" si="11"/>
        <v>31430</v>
      </c>
      <c r="P738" s="2" t="s">
        <v>14</v>
      </c>
    </row>
    <row r="739" spans="1:16" x14ac:dyDescent="0.25">
      <c r="A739">
        <v>17436</v>
      </c>
      <c r="B739" s="2" t="s">
        <v>31</v>
      </c>
      <c r="C739" s="2" t="s">
        <v>34</v>
      </c>
      <c r="D739" s="4">
        <v>60000</v>
      </c>
      <c r="E73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39">
        <v>2</v>
      </c>
      <c r="G739" s="2" t="s">
        <v>26</v>
      </c>
      <c r="H739" s="2" t="s">
        <v>20</v>
      </c>
      <c r="I739" t="s">
        <v>17</v>
      </c>
      <c r="J739">
        <v>2</v>
      </c>
      <c r="K739" t="s">
        <v>25</v>
      </c>
      <c r="L739" s="2" t="s">
        <v>30</v>
      </c>
      <c r="M739" s="4">
        <v>51</v>
      </c>
      <c r="N739" s="4" t="str">
        <f>IF(Bike_Data[[#This Row],[Age]]&gt;=54,"Old",IF(Bike_Data[[#This Row],[Age]]&lt;30,"Young Adult","Middle Age"))</f>
        <v>Middle Age</v>
      </c>
      <c r="O739" s="5">
        <f t="shared" ca="1" si="11"/>
        <v>36454</v>
      </c>
      <c r="P739" s="2" t="s">
        <v>17</v>
      </c>
    </row>
    <row r="740" spans="1:16" x14ac:dyDescent="0.25">
      <c r="A740">
        <v>16871</v>
      </c>
      <c r="B740" s="2" t="s">
        <v>31</v>
      </c>
      <c r="C740" s="2" t="s">
        <v>33</v>
      </c>
      <c r="D740" s="4">
        <v>90000</v>
      </c>
      <c r="E74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40">
        <v>2</v>
      </c>
      <c r="G740" s="2" t="s">
        <v>26</v>
      </c>
      <c r="H740" s="2" t="s">
        <v>20</v>
      </c>
      <c r="I740" t="s">
        <v>14</v>
      </c>
      <c r="J740">
        <v>1</v>
      </c>
      <c r="K740" t="s">
        <v>37</v>
      </c>
      <c r="L740" s="2" t="s">
        <v>30</v>
      </c>
      <c r="M740" s="4">
        <v>51</v>
      </c>
      <c r="N740" s="4" t="str">
        <f>IF(Bike_Data[[#This Row],[Age]]&gt;=54,"Old",IF(Bike_Data[[#This Row],[Age]]&lt;30,"Young Adult","Middle Age"))</f>
        <v>Middle Age</v>
      </c>
      <c r="O740" s="5">
        <f t="shared" ca="1" si="11"/>
        <v>34785</v>
      </c>
      <c r="P740" s="2" t="s">
        <v>14</v>
      </c>
    </row>
    <row r="741" spans="1:16" x14ac:dyDescent="0.25">
      <c r="A741">
        <v>29255</v>
      </c>
      <c r="B741" s="2" t="s">
        <v>32</v>
      </c>
      <c r="C741" s="2" t="s">
        <v>34</v>
      </c>
      <c r="D741" s="4">
        <v>80000</v>
      </c>
      <c r="E74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41">
        <v>3</v>
      </c>
      <c r="G741" s="2" t="s">
        <v>18</v>
      </c>
      <c r="H741" s="2" t="s">
        <v>20</v>
      </c>
      <c r="I741" t="s">
        <v>17</v>
      </c>
      <c r="J741">
        <v>1</v>
      </c>
      <c r="K741" t="s">
        <v>25</v>
      </c>
      <c r="L741" s="2" t="s">
        <v>30</v>
      </c>
      <c r="M741" s="4">
        <v>51</v>
      </c>
      <c r="N741" s="4" t="str">
        <f>IF(Bike_Data[[#This Row],[Age]]&gt;=54,"Old",IF(Bike_Data[[#This Row],[Age]]&lt;30,"Young Adult","Middle Age"))</f>
        <v>Middle Age</v>
      </c>
      <c r="O741" s="5">
        <f t="shared" ca="1" si="11"/>
        <v>31985</v>
      </c>
      <c r="P741" s="2" t="s">
        <v>14</v>
      </c>
    </row>
    <row r="742" spans="1:16" x14ac:dyDescent="0.25">
      <c r="A742">
        <v>12774</v>
      </c>
      <c r="B742" s="2" t="s">
        <v>31</v>
      </c>
      <c r="C742" s="2" t="s">
        <v>33</v>
      </c>
      <c r="D742" s="4">
        <v>40000</v>
      </c>
      <c r="E74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42">
        <v>1</v>
      </c>
      <c r="G742" s="2" t="s">
        <v>18</v>
      </c>
      <c r="H742" s="2" t="s">
        <v>19</v>
      </c>
      <c r="I742" t="s">
        <v>14</v>
      </c>
      <c r="J742">
        <v>1</v>
      </c>
      <c r="K742" t="s">
        <v>25</v>
      </c>
      <c r="L742" s="2" t="s">
        <v>30</v>
      </c>
      <c r="M742" s="4">
        <v>51</v>
      </c>
      <c r="N742" s="4" t="str">
        <f>IF(Bike_Data[[#This Row],[Age]]&gt;=54,"Old",IF(Bike_Data[[#This Row],[Age]]&lt;30,"Young Adult","Middle Age"))</f>
        <v>Middle Age</v>
      </c>
      <c r="O742" s="5">
        <f t="shared" ca="1" si="11"/>
        <v>26878</v>
      </c>
      <c r="P742" s="2" t="s">
        <v>14</v>
      </c>
    </row>
    <row r="743" spans="1:16" x14ac:dyDescent="0.25">
      <c r="A743">
        <v>18649</v>
      </c>
      <c r="B743" s="2" t="s">
        <v>32</v>
      </c>
      <c r="C743" s="2" t="s">
        <v>34</v>
      </c>
      <c r="D743" s="4">
        <v>30000</v>
      </c>
      <c r="E74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43">
        <v>1</v>
      </c>
      <c r="G743" s="2" t="s">
        <v>26</v>
      </c>
      <c r="H743" s="2" t="s">
        <v>19</v>
      </c>
      <c r="I743" t="s">
        <v>14</v>
      </c>
      <c r="J743">
        <v>2</v>
      </c>
      <c r="K743" t="s">
        <v>25</v>
      </c>
      <c r="L743" s="2" t="s">
        <v>30</v>
      </c>
      <c r="M743" s="4">
        <v>51</v>
      </c>
      <c r="N743" s="4" t="str">
        <f>IF(Bike_Data[[#This Row],[Age]]&gt;=54,"Old",IF(Bike_Data[[#This Row],[Age]]&lt;30,"Young Adult","Middle Age"))</f>
        <v>Middle Age</v>
      </c>
      <c r="O743" s="5">
        <f t="shared" ca="1" si="11"/>
        <v>27209</v>
      </c>
      <c r="P743" s="2" t="s">
        <v>14</v>
      </c>
    </row>
    <row r="744" spans="1:16" x14ac:dyDescent="0.25">
      <c r="A744">
        <v>21306</v>
      </c>
      <c r="B744" s="2" t="s">
        <v>32</v>
      </c>
      <c r="C744" s="2" t="s">
        <v>34</v>
      </c>
      <c r="D744" s="4">
        <v>60000</v>
      </c>
      <c r="E74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44">
        <v>2</v>
      </c>
      <c r="G744" s="2" t="s">
        <v>26</v>
      </c>
      <c r="H744" s="2" t="s">
        <v>20</v>
      </c>
      <c r="I744" t="s">
        <v>14</v>
      </c>
      <c r="J744">
        <v>2</v>
      </c>
      <c r="K744" t="s">
        <v>22</v>
      </c>
      <c r="L744" s="2" t="s">
        <v>30</v>
      </c>
      <c r="M744" s="4">
        <v>51</v>
      </c>
      <c r="N744" s="4" t="str">
        <f>IF(Bike_Data[[#This Row],[Age]]&gt;=54,"Old",IF(Bike_Data[[#This Row],[Age]]&lt;30,"Young Adult","Middle Age"))</f>
        <v>Middle Age</v>
      </c>
      <c r="O744" s="5">
        <f t="shared" ca="1" si="11"/>
        <v>26494</v>
      </c>
      <c r="P744" s="2" t="s">
        <v>17</v>
      </c>
    </row>
    <row r="745" spans="1:16" x14ac:dyDescent="0.25">
      <c r="A745">
        <v>18411</v>
      </c>
      <c r="B745" s="2" t="s">
        <v>31</v>
      </c>
      <c r="C745" s="2" t="s">
        <v>34</v>
      </c>
      <c r="D745" s="4">
        <v>60000</v>
      </c>
      <c r="E74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45">
        <v>2</v>
      </c>
      <c r="G745" s="2" t="s">
        <v>26</v>
      </c>
      <c r="H745" s="2" t="s">
        <v>20</v>
      </c>
      <c r="I745" t="s">
        <v>17</v>
      </c>
      <c r="J745">
        <v>2</v>
      </c>
      <c r="K745" t="s">
        <v>22</v>
      </c>
      <c r="L745" s="2" t="s">
        <v>30</v>
      </c>
      <c r="M745" s="4">
        <v>51</v>
      </c>
      <c r="N745" s="4" t="str">
        <f>IF(Bike_Data[[#This Row],[Age]]&gt;=54,"Old",IF(Bike_Data[[#This Row],[Age]]&lt;30,"Young Adult","Middle Age"))</f>
        <v>Middle Age</v>
      </c>
      <c r="O745" s="5">
        <f t="shared" ca="1" si="11"/>
        <v>32690</v>
      </c>
      <c r="P745" s="2" t="s">
        <v>17</v>
      </c>
    </row>
    <row r="746" spans="1:16" x14ac:dyDescent="0.25">
      <c r="A746">
        <v>20754</v>
      </c>
      <c r="B746" s="2" t="s">
        <v>31</v>
      </c>
      <c r="C746" s="2" t="s">
        <v>34</v>
      </c>
      <c r="D746" s="4">
        <v>30000</v>
      </c>
      <c r="E74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46">
        <v>2</v>
      </c>
      <c r="G746" s="2" t="s">
        <v>26</v>
      </c>
      <c r="H746" s="2" t="s">
        <v>13</v>
      </c>
      <c r="I746" t="s">
        <v>14</v>
      </c>
      <c r="J746">
        <v>2</v>
      </c>
      <c r="K746" t="s">
        <v>25</v>
      </c>
      <c r="L746" s="2" t="s">
        <v>30</v>
      </c>
      <c r="M746" s="4">
        <v>51</v>
      </c>
      <c r="N746" s="4" t="str">
        <f>IF(Bike_Data[[#This Row],[Age]]&gt;=54,"Old",IF(Bike_Data[[#This Row],[Age]]&lt;30,"Young Adult","Middle Age"))</f>
        <v>Middle Age</v>
      </c>
      <c r="O746" s="5">
        <f t="shared" ca="1" si="11"/>
        <v>28607</v>
      </c>
      <c r="P746" s="2" t="s">
        <v>17</v>
      </c>
    </row>
    <row r="747" spans="1:16" x14ac:dyDescent="0.25">
      <c r="A747">
        <v>12192</v>
      </c>
      <c r="B747" s="2" t="s">
        <v>32</v>
      </c>
      <c r="C747" s="2" t="s">
        <v>33</v>
      </c>
      <c r="D747" s="4">
        <v>60000</v>
      </c>
      <c r="E74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47">
        <v>2</v>
      </c>
      <c r="G747" s="2" t="s">
        <v>28</v>
      </c>
      <c r="H747" s="2" t="s">
        <v>13</v>
      </c>
      <c r="I747" t="s">
        <v>17</v>
      </c>
      <c r="J747">
        <v>2</v>
      </c>
      <c r="K747" t="s">
        <v>25</v>
      </c>
      <c r="L747" s="2" t="s">
        <v>30</v>
      </c>
      <c r="M747" s="4">
        <v>51</v>
      </c>
      <c r="N747" s="4" t="str">
        <f>IF(Bike_Data[[#This Row],[Age]]&gt;=54,"Old",IF(Bike_Data[[#This Row],[Age]]&lt;30,"Young Adult","Middle Age"))</f>
        <v>Middle Age</v>
      </c>
      <c r="O747" s="5">
        <f t="shared" ca="1" si="11"/>
        <v>33053</v>
      </c>
      <c r="P747" s="2" t="s">
        <v>17</v>
      </c>
    </row>
    <row r="748" spans="1:16" x14ac:dyDescent="0.25">
      <c r="A748">
        <v>29097</v>
      </c>
      <c r="B748" s="2" t="s">
        <v>32</v>
      </c>
      <c r="C748" s="2" t="s">
        <v>33</v>
      </c>
      <c r="D748" s="4">
        <v>40000</v>
      </c>
      <c r="E74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48">
        <v>2</v>
      </c>
      <c r="G748" s="2" t="s">
        <v>18</v>
      </c>
      <c r="H748" s="2" t="s">
        <v>13</v>
      </c>
      <c r="I748" t="s">
        <v>14</v>
      </c>
      <c r="J748">
        <v>2</v>
      </c>
      <c r="K748" t="s">
        <v>22</v>
      </c>
      <c r="L748" s="2" t="s">
        <v>23</v>
      </c>
      <c r="M748" s="4">
        <v>52</v>
      </c>
      <c r="N748" s="4" t="str">
        <f>IF(Bike_Data[[#This Row],[Age]]&gt;=54,"Old",IF(Bike_Data[[#This Row],[Age]]&lt;30,"Young Adult","Middle Age"))</f>
        <v>Middle Age</v>
      </c>
      <c r="O748" s="5">
        <f t="shared" ca="1" si="11"/>
        <v>37619</v>
      </c>
      <c r="P748" s="2" t="s">
        <v>14</v>
      </c>
    </row>
    <row r="749" spans="1:16" x14ac:dyDescent="0.25">
      <c r="A749">
        <v>16713</v>
      </c>
      <c r="B749" s="2" t="s">
        <v>31</v>
      </c>
      <c r="C749" s="2" t="s">
        <v>34</v>
      </c>
      <c r="D749" s="4">
        <v>40000</v>
      </c>
      <c r="E74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49">
        <v>2</v>
      </c>
      <c r="G749" s="2" t="s">
        <v>12</v>
      </c>
      <c r="H749" s="2" t="s">
        <v>27</v>
      </c>
      <c r="I749" t="s">
        <v>14</v>
      </c>
      <c r="J749">
        <v>1</v>
      </c>
      <c r="K749" t="s">
        <v>15</v>
      </c>
      <c r="L749" s="2" t="s">
        <v>23</v>
      </c>
      <c r="M749" s="4">
        <v>52</v>
      </c>
      <c r="N749" s="4" t="str">
        <f>IF(Bike_Data[[#This Row],[Age]]&gt;=54,"Old",IF(Bike_Data[[#This Row],[Age]]&lt;30,"Young Adult","Middle Age"))</f>
        <v>Middle Age</v>
      </c>
      <c r="O749" s="5">
        <f t="shared" ca="1" si="11"/>
        <v>33508</v>
      </c>
      <c r="P749" s="2" t="s">
        <v>14</v>
      </c>
    </row>
    <row r="750" spans="1:16" x14ac:dyDescent="0.25">
      <c r="A750">
        <v>24857</v>
      </c>
      <c r="B750" s="2" t="s">
        <v>31</v>
      </c>
      <c r="C750" s="2" t="s">
        <v>33</v>
      </c>
      <c r="D750" s="4">
        <v>130000</v>
      </c>
      <c r="E75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50">
        <v>3</v>
      </c>
      <c r="G750" s="2" t="s">
        <v>26</v>
      </c>
      <c r="H750" s="2" t="s">
        <v>20</v>
      </c>
      <c r="I750" t="s">
        <v>14</v>
      </c>
      <c r="J750">
        <v>4</v>
      </c>
      <c r="K750" t="s">
        <v>15</v>
      </c>
      <c r="L750" s="2" t="s">
        <v>16</v>
      </c>
      <c r="M750" s="4">
        <v>52</v>
      </c>
      <c r="N750" s="4" t="str">
        <f>IF(Bike_Data[[#This Row],[Age]]&gt;=54,"Old",IF(Bike_Data[[#This Row],[Age]]&lt;30,"Young Adult","Middle Age"))</f>
        <v>Middle Age</v>
      </c>
      <c r="O750" s="5">
        <f t="shared" ca="1" si="11"/>
        <v>32092</v>
      </c>
      <c r="P750" s="2" t="s">
        <v>17</v>
      </c>
    </row>
    <row r="751" spans="1:16" x14ac:dyDescent="0.25">
      <c r="A751">
        <v>24485</v>
      </c>
      <c r="B751" s="2" t="s">
        <v>32</v>
      </c>
      <c r="C751" s="2" t="s">
        <v>34</v>
      </c>
      <c r="D751" s="4">
        <v>40000</v>
      </c>
      <c r="E75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51">
        <v>2</v>
      </c>
      <c r="G751" s="2" t="s">
        <v>12</v>
      </c>
      <c r="H751" s="2" t="s">
        <v>27</v>
      </c>
      <c r="I751" t="s">
        <v>17</v>
      </c>
      <c r="J751">
        <v>1</v>
      </c>
      <c r="K751" t="s">
        <v>22</v>
      </c>
      <c r="L751" s="2" t="s">
        <v>23</v>
      </c>
      <c r="M751" s="4">
        <v>52</v>
      </c>
      <c r="N751" s="4" t="str">
        <f>IF(Bike_Data[[#This Row],[Age]]&gt;=54,"Old",IF(Bike_Data[[#This Row],[Age]]&lt;30,"Young Adult","Middle Age"))</f>
        <v>Middle Age</v>
      </c>
      <c r="O751" s="5">
        <f t="shared" ca="1" si="11"/>
        <v>29992</v>
      </c>
      <c r="P751" s="2" t="s">
        <v>14</v>
      </c>
    </row>
    <row r="752" spans="1:16" x14ac:dyDescent="0.25">
      <c r="A752">
        <v>20430</v>
      </c>
      <c r="B752" s="2" t="s">
        <v>31</v>
      </c>
      <c r="C752" s="2" t="s">
        <v>34</v>
      </c>
      <c r="D752" s="4">
        <v>70000</v>
      </c>
      <c r="E75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52">
        <v>2</v>
      </c>
      <c r="G752" s="2" t="s">
        <v>18</v>
      </c>
      <c r="H752" s="2" t="s">
        <v>13</v>
      </c>
      <c r="I752" t="s">
        <v>14</v>
      </c>
      <c r="J752">
        <v>2</v>
      </c>
      <c r="K752" t="s">
        <v>22</v>
      </c>
      <c r="L752" s="2" t="s">
        <v>23</v>
      </c>
      <c r="M752" s="4">
        <v>52</v>
      </c>
      <c r="N752" s="4" t="str">
        <f>IF(Bike_Data[[#This Row],[Age]]&gt;=54,"Old",IF(Bike_Data[[#This Row],[Age]]&lt;30,"Young Adult","Middle Age"))</f>
        <v>Middle Age</v>
      </c>
      <c r="O752" s="5">
        <f t="shared" ca="1" si="11"/>
        <v>28776</v>
      </c>
      <c r="P752" s="2" t="s">
        <v>14</v>
      </c>
    </row>
    <row r="753" spans="1:16" x14ac:dyDescent="0.25">
      <c r="A753">
        <v>20970</v>
      </c>
      <c r="B753" s="2" t="s">
        <v>32</v>
      </c>
      <c r="C753" s="2" t="s">
        <v>34</v>
      </c>
      <c r="D753" s="4">
        <v>10000</v>
      </c>
      <c r="E75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53">
        <v>2</v>
      </c>
      <c r="G753" s="2" t="s">
        <v>18</v>
      </c>
      <c r="H753" s="2" t="s">
        <v>24</v>
      </c>
      <c r="I753" t="s">
        <v>14</v>
      </c>
      <c r="J753">
        <v>1</v>
      </c>
      <c r="K753" t="s">
        <v>15</v>
      </c>
      <c r="L753" s="2" t="s">
        <v>16</v>
      </c>
      <c r="M753" s="4">
        <v>52</v>
      </c>
      <c r="N753" s="4" t="str">
        <f>IF(Bike_Data[[#This Row],[Age]]&gt;=54,"Old",IF(Bike_Data[[#This Row],[Age]]&lt;30,"Young Adult","Middle Age"))</f>
        <v>Middle Age</v>
      </c>
      <c r="O753" s="5">
        <f t="shared" ca="1" si="11"/>
        <v>36192</v>
      </c>
      <c r="P753" s="2" t="s">
        <v>14</v>
      </c>
    </row>
    <row r="754" spans="1:16" x14ac:dyDescent="0.25">
      <c r="A754">
        <v>12234</v>
      </c>
      <c r="B754" s="2" t="s">
        <v>31</v>
      </c>
      <c r="C754" s="2" t="s">
        <v>34</v>
      </c>
      <c r="D754" s="4">
        <v>10000</v>
      </c>
      <c r="E75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54">
        <v>2</v>
      </c>
      <c r="G754" s="2" t="s">
        <v>18</v>
      </c>
      <c r="H754" s="2" t="s">
        <v>24</v>
      </c>
      <c r="I754" t="s">
        <v>14</v>
      </c>
      <c r="J754">
        <v>1</v>
      </c>
      <c r="K754" t="s">
        <v>21</v>
      </c>
      <c r="L754" s="2" t="s">
        <v>16</v>
      </c>
      <c r="M754" s="4">
        <v>52</v>
      </c>
      <c r="N754" s="4" t="str">
        <f>IF(Bike_Data[[#This Row],[Age]]&gt;=54,"Old",IF(Bike_Data[[#This Row],[Age]]&lt;30,"Young Adult","Middle Age"))</f>
        <v>Middle Age</v>
      </c>
      <c r="O754" s="5">
        <f t="shared" ca="1" si="11"/>
        <v>37505</v>
      </c>
      <c r="P754" s="2" t="s">
        <v>17</v>
      </c>
    </row>
    <row r="755" spans="1:16" x14ac:dyDescent="0.25">
      <c r="A755">
        <v>24279</v>
      </c>
      <c r="B755" s="2" t="s">
        <v>32</v>
      </c>
      <c r="C755" s="2" t="s">
        <v>34</v>
      </c>
      <c r="D755" s="4">
        <v>40000</v>
      </c>
      <c r="E7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55">
        <v>2</v>
      </c>
      <c r="G755" s="2" t="s">
        <v>18</v>
      </c>
      <c r="H755" s="2" t="s">
        <v>13</v>
      </c>
      <c r="I755" t="s">
        <v>17</v>
      </c>
      <c r="J755">
        <v>2</v>
      </c>
      <c r="K755" t="s">
        <v>25</v>
      </c>
      <c r="L755" s="2" t="s">
        <v>23</v>
      </c>
      <c r="M755" s="4">
        <v>52</v>
      </c>
      <c r="N755" s="4" t="str">
        <f>IF(Bike_Data[[#This Row],[Age]]&gt;=54,"Old",IF(Bike_Data[[#This Row],[Age]]&lt;30,"Young Adult","Middle Age"))</f>
        <v>Middle Age</v>
      </c>
      <c r="O755" s="5">
        <f t="shared" ca="1" si="11"/>
        <v>32571</v>
      </c>
      <c r="P755" s="2" t="s">
        <v>17</v>
      </c>
    </row>
    <row r="756" spans="1:16" x14ac:dyDescent="0.25">
      <c r="A756">
        <v>17504</v>
      </c>
      <c r="B756" s="2" t="s">
        <v>32</v>
      </c>
      <c r="C756" s="2" t="s">
        <v>33</v>
      </c>
      <c r="D756" s="4">
        <v>80000</v>
      </c>
      <c r="E75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56">
        <v>2</v>
      </c>
      <c r="G756" s="2" t="s">
        <v>18</v>
      </c>
      <c r="H756" s="2" t="s">
        <v>13</v>
      </c>
      <c r="I756" t="s">
        <v>14</v>
      </c>
      <c r="J756">
        <v>2</v>
      </c>
      <c r="K756" t="s">
        <v>22</v>
      </c>
      <c r="L756" s="2" t="s">
        <v>23</v>
      </c>
      <c r="M756" s="4">
        <v>52</v>
      </c>
      <c r="N756" s="4" t="str">
        <f>IF(Bike_Data[[#This Row],[Age]]&gt;=54,"Old",IF(Bike_Data[[#This Row],[Age]]&lt;30,"Young Adult","Middle Age"))</f>
        <v>Middle Age</v>
      </c>
      <c r="O756" s="5">
        <f t="shared" ca="1" si="11"/>
        <v>36665</v>
      </c>
      <c r="P756" s="2" t="s">
        <v>14</v>
      </c>
    </row>
    <row r="757" spans="1:16" x14ac:dyDescent="0.25">
      <c r="A757">
        <v>19057</v>
      </c>
      <c r="B757" s="2" t="s">
        <v>31</v>
      </c>
      <c r="C757" s="2" t="s">
        <v>33</v>
      </c>
      <c r="D757" s="4">
        <v>120000</v>
      </c>
      <c r="E75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57">
        <v>3</v>
      </c>
      <c r="G757" s="2" t="s">
        <v>12</v>
      </c>
      <c r="H757" s="2" t="s">
        <v>27</v>
      </c>
      <c r="I757" t="s">
        <v>17</v>
      </c>
      <c r="J757">
        <v>2</v>
      </c>
      <c r="K757" t="s">
        <v>37</v>
      </c>
      <c r="L757" s="2" t="s">
        <v>16</v>
      </c>
      <c r="M757" s="4">
        <v>52</v>
      </c>
      <c r="N757" s="4" t="str">
        <f>IF(Bike_Data[[#This Row],[Age]]&gt;=54,"Old",IF(Bike_Data[[#This Row],[Age]]&lt;30,"Young Adult","Middle Age"))</f>
        <v>Middle Age</v>
      </c>
      <c r="O757" s="5">
        <f t="shared" ca="1" si="11"/>
        <v>26164</v>
      </c>
      <c r="P757" s="2" t="s">
        <v>14</v>
      </c>
    </row>
    <row r="758" spans="1:16" x14ac:dyDescent="0.25">
      <c r="A758">
        <v>23105</v>
      </c>
      <c r="B758" s="2" t="s">
        <v>32</v>
      </c>
      <c r="C758" s="2" t="s">
        <v>34</v>
      </c>
      <c r="D758" s="4">
        <v>40000</v>
      </c>
      <c r="E75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58">
        <v>3</v>
      </c>
      <c r="G758" s="2" t="s">
        <v>28</v>
      </c>
      <c r="H758" s="2" t="s">
        <v>19</v>
      </c>
      <c r="I758" t="s">
        <v>17</v>
      </c>
      <c r="J758">
        <v>2</v>
      </c>
      <c r="K758" t="s">
        <v>22</v>
      </c>
      <c r="L758" s="2" t="s">
        <v>23</v>
      </c>
      <c r="M758" s="4">
        <v>52</v>
      </c>
      <c r="N758" s="4" t="str">
        <f>IF(Bike_Data[[#This Row],[Age]]&gt;=54,"Old",IF(Bike_Data[[#This Row],[Age]]&lt;30,"Young Adult","Middle Age"))</f>
        <v>Middle Age</v>
      </c>
      <c r="O758" s="5">
        <f t="shared" ca="1" si="11"/>
        <v>31907</v>
      </c>
      <c r="P758" s="2" t="s">
        <v>14</v>
      </c>
    </row>
    <row r="759" spans="1:16" x14ac:dyDescent="0.25">
      <c r="A759">
        <v>22821</v>
      </c>
      <c r="B759" s="2" t="s">
        <v>31</v>
      </c>
      <c r="C759" s="2" t="s">
        <v>33</v>
      </c>
      <c r="D759" s="4">
        <v>130000</v>
      </c>
      <c r="E75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59">
        <v>3</v>
      </c>
      <c r="G759" s="2" t="s">
        <v>18</v>
      </c>
      <c r="H759" s="2" t="s">
        <v>20</v>
      </c>
      <c r="I759" t="s">
        <v>14</v>
      </c>
      <c r="J759">
        <v>4</v>
      </c>
      <c r="K759" t="s">
        <v>15</v>
      </c>
      <c r="L759" s="2" t="s">
        <v>16</v>
      </c>
      <c r="M759" s="4">
        <v>52</v>
      </c>
      <c r="N759" s="4" t="str">
        <f>IF(Bike_Data[[#This Row],[Age]]&gt;=54,"Old",IF(Bike_Data[[#This Row],[Age]]&lt;30,"Young Adult","Middle Age"))</f>
        <v>Middle Age</v>
      </c>
      <c r="O759" s="5">
        <f t="shared" ca="1" si="11"/>
        <v>35711</v>
      </c>
      <c r="P759" s="2" t="s">
        <v>17</v>
      </c>
    </row>
    <row r="760" spans="1:16" x14ac:dyDescent="0.25">
      <c r="A760">
        <v>11061</v>
      </c>
      <c r="B760" s="2" t="s">
        <v>31</v>
      </c>
      <c r="C760" s="2" t="s">
        <v>34</v>
      </c>
      <c r="D760" s="4">
        <v>70000</v>
      </c>
      <c r="E76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0">
        <v>2</v>
      </c>
      <c r="G760" s="2" t="s">
        <v>18</v>
      </c>
      <c r="H760" s="2" t="s">
        <v>13</v>
      </c>
      <c r="I760" t="s">
        <v>14</v>
      </c>
      <c r="J760">
        <v>2</v>
      </c>
      <c r="K760" t="s">
        <v>22</v>
      </c>
      <c r="L760" s="2" t="s">
        <v>23</v>
      </c>
      <c r="M760" s="4">
        <v>52</v>
      </c>
      <c r="N760" s="4" t="str">
        <f>IF(Bike_Data[[#This Row],[Age]]&gt;=54,"Old",IF(Bike_Data[[#This Row],[Age]]&lt;30,"Young Adult","Middle Age"))</f>
        <v>Middle Age</v>
      </c>
      <c r="O760" s="5">
        <f t="shared" ca="1" si="11"/>
        <v>35407</v>
      </c>
      <c r="P760" s="2" t="s">
        <v>14</v>
      </c>
    </row>
    <row r="761" spans="1:16" x14ac:dyDescent="0.25">
      <c r="A761">
        <v>12195</v>
      </c>
      <c r="B761" s="2" t="s">
        <v>32</v>
      </c>
      <c r="C761" s="2" t="s">
        <v>33</v>
      </c>
      <c r="D761" s="4">
        <v>70000</v>
      </c>
      <c r="E76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1">
        <v>3</v>
      </c>
      <c r="G761" s="2" t="s">
        <v>29</v>
      </c>
      <c r="H761" s="2" t="s">
        <v>27</v>
      </c>
      <c r="I761" t="s">
        <v>14</v>
      </c>
      <c r="J761">
        <v>2</v>
      </c>
      <c r="K761" t="s">
        <v>25</v>
      </c>
      <c r="L761" s="2" t="s">
        <v>30</v>
      </c>
      <c r="M761" s="4">
        <v>52</v>
      </c>
      <c r="N761" s="4" t="str">
        <f>IF(Bike_Data[[#This Row],[Age]]&gt;=54,"Old",IF(Bike_Data[[#This Row],[Age]]&lt;30,"Young Adult","Middle Age"))</f>
        <v>Middle Age</v>
      </c>
      <c r="O761" s="5">
        <f t="shared" ca="1" si="11"/>
        <v>32622</v>
      </c>
      <c r="P761" s="2" t="s">
        <v>17</v>
      </c>
    </row>
    <row r="762" spans="1:16" x14ac:dyDescent="0.25">
      <c r="A762">
        <v>20370</v>
      </c>
      <c r="B762" s="2" t="s">
        <v>31</v>
      </c>
      <c r="C762" s="2" t="s">
        <v>34</v>
      </c>
      <c r="D762" s="4">
        <v>70000</v>
      </c>
      <c r="E76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2">
        <v>3</v>
      </c>
      <c r="G762" s="2" t="s">
        <v>28</v>
      </c>
      <c r="H762" s="2" t="s">
        <v>13</v>
      </c>
      <c r="I762" t="s">
        <v>14</v>
      </c>
      <c r="J762">
        <v>2</v>
      </c>
      <c r="K762" t="s">
        <v>22</v>
      </c>
      <c r="L762" s="2" t="s">
        <v>30</v>
      </c>
      <c r="M762" s="4">
        <v>52</v>
      </c>
      <c r="N762" s="4" t="str">
        <f>IF(Bike_Data[[#This Row],[Age]]&gt;=54,"Old",IF(Bike_Data[[#This Row],[Age]]&lt;30,"Young Adult","Middle Age"))</f>
        <v>Middle Age</v>
      </c>
      <c r="O762" s="5">
        <f t="shared" ca="1" si="11"/>
        <v>33935</v>
      </c>
      <c r="P762" s="2" t="s">
        <v>17</v>
      </c>
    </row>
    <row r="763" spans="1:16" x14ac:dyDescent="0.25">
      <c r="A763">
        <v>18858</v>
      </c>
      <c r="B763" s="2" t="s">
        <v>32</v>
      </c>
      <c r="C763" s="2" t="s">
        <v>34</v>
      </c>
      <c r="D763" s="4">
        <v>60000</v>
      </c>
      <c r="E76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3">
        <v>2</v>
      </c>
      <c r="G763" s="2" t="s">
        <v>28</v>
      </c>
      <c r="H763" s="2" t="s">
        <v>13</v>
      </c>
      <c r="I763" t="s">
        <v>14</v>
      </c>
      <c r="J763">
        <v>2</v>
      </c>
      <c r="K763" t="s">
        <v>22</v>
      </c>
      <c r="L763" s="2" t="s">
        <v>30</v>
      </c>
      <c r="M763" s="4">
        <v>52</v>
      </c>
      <c r="N763" s="4" t="str">
        <f>IF(Bike_Data[[#This Row],[Age]]&gt;=54,"Old",IF(Bike_Data[[#This Row],[Age]]&lt;30,"Young Adult","Middle Age"))</f>
        <v>Middle Age</v>
      </c>
      <c r="O763" s="5">
        <f t="shared" ca="1" si="11"/>
        <v>27458</v>
      </c>
      <c r="P763" s="2" t="s">
        <v>14</v>
      </c>
    </row>
    <row r="764" spans="1:16" x14ac:dyDescent="0.25">
      <c r="A764">
        <v>17458</v>
      </c>
      <c r="B764" s="2" t="s">
        <v>32</v>
      </c>
      <c r="C764" s="2" t="s">
        <v>34</v>
      </c>
      <c r="D764" s="4">
        <v>70000</v>
      </c>
      <c r="E7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4">
        <v>3</v>
      </c>
      <c r="G764" s="2" t="s">
        <v>26</v>
      </c>
      <c r="H764" s="2" t="s">
        <v>20</v>
      </c>
      <c r="I764" t="s">
        <v>14</v>
      </c>
      <c r="J764">
        <v>0</v>
      </c>
      <c r="K764" t="s">
        <v>22</v>
      </c>
      <c r="L764" s="2" t="s">
        <v>30</v>
      </c>
      <c r="M764" s="4">
        <v>52</v>
      </c>
      <c r="N764" s="4" t="str">
        <f>IF(Bike_Data[[#This Row],[Age]]&gt;=54,"Old",IF(Bike_Data[[#This Row],[Age]]&lt;30,"Young Adult","Middle Age"))</f>
        <v>Middle Age</v>
      </c>
      <c r="O764" s="5">
        <f t="shared" ca="1" si="11"/>
        <v>28430</v>
      </c>
      <c r="P764" s="2" t="s">
        <v>14</v>
      </c>
    </row>
    <row r="765" spans="1:16" x14ac:dyDescent="0.25">
      <c r="A765">
        <v>16890</v>
      </c>
      <c r="B765" s="2" t="s">
        <v>31</v>
      </c>
      <c r="C765" s="2" t="s">
        <v>34</v>
      </c>
      <c r="D765" s="4">
        <v>60000</v>
      </c>
      <c r="E76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5">
        <v>3</v>
      </c>
      <c r="G765" s="2" t="s">
        <v>28</v>
      </c>
      <c r="H765" s="2" t="s">
        <v>13</v>
      </c>
      <c r="I765" t="s">
        <v>14</v>
      </c>
      <c r="J765">
        <v>2</v>
      </c>
      <c r="K765" t="s">
        <v>22</v>
      </c>
      <c r="L765" s="2" t="s">
        <v>30</v>
      </c>
      <c r="M765" s="4">
        <v>52</v>
      </c>
      <c r="N765" s="4" t="str">
        <f>IF(Bike_Data[[#This Row],[Age]]&gt;=54,"Old",IF(Bike_Data[[#This Row],[Age]]&lt;30,"Young Adult","Middle Age"))</f>
        <v>Middle Age</v>
      </c>
      <c r="O765" s="5">
        <f t="shared" ca="1" si="11"/>
        <v>32108</v>
      </c>
      <c r="P765" s="2" t="s">
        <v>14</v>
      </c>
    </row>
    <row r="766" spans="1:16" x14ac:dyDescent="0.25">
      <c r="A766">
        <v>26248</v>
      </c>
      <c r="B766" s="2" t="s">
        <v>31</v>
      </c>
      <c r="C766" s="2" t="s">
        <v>34</v>
      </c>
      <c r="D766" s="4">
        <v>20000</v>
      </c>
      <c r="E76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66">
        <v>3</v>
      </c>
      <c r="G766" s="2" t="s">
        <v>28</v>
      </c>
      <c r="H766" s="2" t="s">
        <v>19</v>
      </c>
      <c r="I766" t="s">
        <v>17</v>
      </c>
      <c r="J766">
        <v>2</v>
      </c>
      <c r="K766" t="s">
        <v>15</v>
      </c>
      <c r="L766" s="2" t="s">
        <v>30</v>
      </c>
      <c r="M766" s="4">
        <v>52</v>
      </c>
      <c r="N766" s="4" t="str">
        <f>IF(Bike_Data[[#This Row],[Age]]&gt;=54,"Old",IF(Bike_Data[[#This Row],[Age]]&lt;30,"Young Adult","Middle Age"))</f>
        <v>Middle Age</v>
      </c>
      <c r="O766" s="5">
        <f t="shared" ca="1" si="11"/>
        <v>30294</v>
      </c>
      <c r="P766" s="2" t="s">
        <v>17</v>
      </c>
    </row>
    <row r="767" spans="1:16" x14ac:dyDescent="0.25">
      <c r="A767">
        <v>23256</v>
      </c>
      <c r="B767" s="2" t="s">
        <v>32</v>
      </c>
      <c r="C767" s="2" t="s">
        <v>34</v>
      </c>
      <c r="D767" s="4">
        <v>30000</v>
      </c>
      <c r="E7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67">
        <v>1</v>
      </c>
      <c r="G767" s="2" t="s">
        <v>26</v>
      </c>
      <c r="H767" s="2" t="s">
        <v>19</v>
      </c>
      <c r="I767" t="s">
        <v>17</v>
      </c>
      <c r="J767">
        <v>1</v>
      </c>
      <c r="K767" t="s">
        <v>22</v>
      </c>
      <c r="L767" s="2" t="s">
        <v>30</v>
      </c>
      <c r="M767" s="4">
        <v>52</v>
      </c>
      <c r="N767" s="4" t="str">
        <f>IF(Bike_Data[[#This Row],[Age]]&gt;=54,"Old",IF(Bike_Data[[#This Row],[Age]]&lt;30,"Young Adult","Middle Age"))</f>
        <v>Middle Age</v>
      </c>
      <c r="O767" s="5">
        <f t="shared" ca="1" si="11"/>
        <v>34873</v>
      </c>
      <c r="P767" s="2" t="s">
        <v>17</v>
      </c>
    </row>
    <row r="768" spans="1:16" x14ac:dyDescent="0.25">
      <c r="A768">
        <v>12768</v>
      </c>
      <c r="B768" s="2" t="s">
        <v>31</v>
      </c>
      <c r="C768" s="2" t="s">
        <v>34</v>
      </c>
      <c r="D768" s="4">
        <v>30000</v>
      </c>
      <c r="E76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68">
        <v>1</v>
      </c>
      <c r="G768" s="2" t="s">
        <v>26</v>
      </c>
      <c r="H768" s="2" t="s">
        <v>19</v>
      </c>
      <c r="I768" t="s">
        <v>14</v>
      </c>
      <c r="J768">
        <v>1</v>
      </c>
      <c r="K768" t="s">
        <v>21</v>
      </c>
      <c r="L768" s="2" t="s">
        <v>30</v>
      </c>
      <c r="M768" s="4">
        <v>52</v>
      </c>
      <c r="N768" s="4" t="str">
        <f>IF(Bike_Data[[#This Row],[Age]]&gt;=54,"Old",IF(Bike_Data[[#This Row],[Age]]&lt;30,"Young Adult","Middle Age"))</f>
        <v>Middle Age</v>
      </c>
      <c r="O768" s="5">
        <f t="shared" ca="1" si="11"/>
        <v>26484</v>
      </c>
      <c r="P768" s="2" t="s">
        <v>14</v>
      </c>
    </row>
    <row r="769" spans="1:16" x14ac:dyDescent="0.25">
      <c r="A769">
        <v>20376</v>
      </c>
      <c r="B769" s="2" t="s">
        <v>32</v>
      </c>
      <c r="C769" s="2" t="s">
        <v>33</v>
      </c>
      <c r="D769" s="4">
        <v>70000</v>
      </c>
      <c r="E76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69">
        <v>3</v>
      </c>
      <c r="G769" s="2" t="s">
        <v>29</v>
      </c>
      <c r="H769" s="2" t="s">
        <v>27</v>
      </c>
      <c r="I769" t="s">
        <v>14</v>
      </c>
      <c r="J769">
        <v>2</v>
      </c>
      <c r="K769" t="s">
        <v>22</v>
      </c>
      <c r="L769" s="2" t="s">
        <v>30</v>
      </c>
      <c r="M769" s="4">
        <v>52</v>
      </c>
      <c r="N769" s="4" t="str">
        <f>IF(Bike_Data[[#This Row],[Age]]&gt;=54,"Old",IF(Bike_Data[[#This Row],[Age]]&lt;30,"Young Adult","Middle Age"))</f>
        <v>Middle Age</v>
      </c>
      <c r="O769" s="5">
        <f t="shared" ca="1" si="11"/>
        <v>27504</v>
      </c>
      <c r="P769" s="2" t="s">
        <v>14</v>
      </c>
    </row>
    <row r="770" spans="1:16" x14ac:dyDescent="0.25">
      <c r="A770">
        <v>24433</v>
      </c>
      <c r="B770" s="2" t="s">
        <v>31</v>
      </c>
      <c r="C770" s="2" t="s">
        <v>34</v>
      </c>
      <c r="D770" s="4">
        <v>70000</v>
      </c>
      <c r="E77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70">
        <v>3</v>
      </c>
      <c r="G770" s="2" t="s">
        <v>26</v>
      </c>
      <c r="H770" s="2" t="s">
        <v>20</v>
      </c>
      <c r="I770" t="s">
        <v>17</v>
      </c>
      <c r="J770">
        <v>1</v>
      </c>
      <c r="K770" t="s">
        <v>25</v>
      </c>
      <c r="L770" s="2" t="s">
        <v>30</v>
      </c>
      <c r="M770" s="4">
        <v>52</v>
      </c>
      <c r="N770" s="4" t="str">
        <f>IF(Bike_Data[[#This Row],[Age]]&gt;=54,"Old",IF(Bike_Data[[#This Row],[Age]]&lt;30,"Young Adult","Middle Age"))</f>
        <v>Middle Age</v>
      </c>
      <c r="O770" s="5">
        <f t="shared" ca="1" si="11"/>
        <v>37570</v>
      </c>
      <c r="P770" s="2" t="s">
        <v>14</v>
      </c>
    </row>
    <row r="771" spans="1:16" x14ac:dyDescent="0.25">
      <c r="A771">
        <v>18423</v>
      </c>
      <c r="B771" s="2" t="s">
        <v>32</v>
      </c>
      <c r="C771" s="2" t="s">
        <v>34</v>
      </c>
      <c r="D771" s="4">
        <v>80000</v>
      </c>
      <c r="E77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71">
        <v>2</v>
      </c>
      <c r="G771" s="2" t="s">
        <v>28</v>
      </c>
      <c r="H771" s="2" t="s">
        <v>13</v>
      </c>
      <c r="I771" t="s">
        <v>17</v>
      </c>
      <c r="J771">
        <v>2</v>
      </c>
      <c r="K771" t="s">
        <v>25</v>
      </c>
      <c r="L771" s="2" t="s">
        <v>30</v>
      </c>
      <c r="M771" s="4">
        <v>52</v>
      </c>
      <c r="N771" s="4" t="str">
        <f>IF(Bike_Data[[#This Row],[Age]]&gt;=54,"Old",IF(Bike_Data[[#This Row],[Age]]&lt;30,"Young Adult","Middle Age"))</f>
        <v>Middle Age</v>
      </c>
      <c r="O771" s="5">
        <f t="shared" ref="O771:O834" ca="1" si="12">RANDBETWEEN(DATE(1971,1,1), DATE(2003,12,31))</f>
        <v>28380</v>
      </c>
      <c r="P771" s="2" t="s">
        <v>17</v>
      </c>
    </row>
    <row r="772" spans="1:16" x14ac:dyDescent="0.25">
      <c r="A772">
        <v>14887</v>
      </c>
      <c r="B772" s="2" t="s">
        <v>31</v>
      </c>
      <c r="C772" s="2" t="s">
        <v>33</v>
      </c>
      <c r="D772" s="4">
        <v>30000</v>
      </c>
      <c r="E77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72">
        <v>1</v>
      </c>
      <c r="G772" s="2" t="s">
        <v>26</v>
      </c>
      <c r="H772" s="2" t="s">
        <v>19</v>
      </c>
      <c r="I772" t="s">
        <v>14</v>
      </c>
      <c r="J772">
        <v>1</v>
      </c>
      <c r="K772" t="s">
        <v>22</v>
      </c>
      <c r="L772" s="2" t="s">
        <v>30</v>
      </c>
      <c r="M772" s="4">
        <v>52</v>
      </c>
      <c r="N772" s="4" t="str">
        <f>IF(Bike_Data[[#This Row],[Age]]&gt;=54,"Old",IF(Bike_Data[[#This Row],[Age]]&lt;30,"Young Adult","Middle Age"))</f>
        <v>Middle Age</v>
      </c>
      <c r="O772" s="5">
        <f t="shared" ca="1" si="12"/>
        <v>32628</v>
      </c>
      <c r="P772" s="2" t="s">
        <v>17</v>
      </c>
    </row>
    <row r="773" spans="1:16" x14ac:dyDescent="0.25">
      <c r="A773">
        <v>27494</v>
      </c>
      <c r="B773" s="2" t="s">
        <v>32</v>
      </c>
      <c r="C773" s="2" t="s">
        <v>33</v>
      </c>
      <c r="D773" s="4">
        <v>40000</v>
      </c>
      <c r="E77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73">
        <v>2</v>
      </c>
      <c r="G773" s="2" t="s">
        <v>18</v>
      </c>
      <c r="H773" s="2" t="s">
        <v>13</v>
      </c>
      <c r="I773" t="s">
        <v>17</v>
      </c>
      <c r="J773">
        <v>2</v>
      </c>
      <c r="K773" t="s">
        <v>25</v>
      </c>
      <c r="L773" s="2" t="s">
        <v>23</v>
      </c>
      <c r="M773" s="4">
        <v>53</v>
      </c>
      <c r="N773" s="4" t="str">
        <f>IF(Bike_Data[[#This Row],[Age]]&gt;=54,"Old",IF(Bike_Data[[#This Row],[Age]]&lt;30,"Young Adult","Middle Age"))</f>
        <v>Middle Age</v>
      </c>
      <c r="O773" s="5">
        <f t="shared" ca="1" si="12"/>
        <v>35622</v>
      </c>
      <c r="P773" s="2" t="s">
        <v>14</v>
      </c>
    </row>
    <row r="774" spans="1:16" x14ac:dyDescent="0.25">
      <c r="A774">
        <v>27941</v>
      </c>
      <c r="B774" s="2" t="s">
        <v>31</v>
      </c>
      <c r="C774" s="2" t="s">
        <v>33</v>
      </c>
      <c r="D774" s="4">
        <v>80000</v>
      </c>
      <c r="E77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74">
        <v>4</v>
      </c>
      <c r="G774" s="2" t="s">
        <v>18</v>
      </c>
      <c r="H774" s="2" t="s">
        <v>20</v>
      </c>
      <c r="I774" t="s">
        <v>14</v>
      </c>
      <c r="J774">
        <v>2</v>
      </c>
      <c r="K774" t="s">
        <v>21</v>
      </c>
      <c r="L774" s="2" t="s">
        <v>16</v>
      </c>
      <c r="M774" s="4">
        <v>53</v>
      </c>
      <c r="N774" s="4" t="str">
        <f>IF(Bike_Data[[#This Row],[Age]]&gt;=54,"Old",IF(Bike_Data[[#This Row],[Age]]&lt;30,"Young Adult","Middle Age"))</f>
        <v>Middle Age</v>
      </c>
      <c r="O774" s="5">
        <f t="shared" ca="1" si="12"/>
        <v>36379</v>
      </c>
      <c r="P774" s="2" t="s">
        <v>17</v>
      </c>
    </row>
    <row r="775" spans="1:16" x14ac:dyDescent="0.25">
      <c r="A775">
        <v>25752</v>
      </c>
      <c r="B775" s="2" t="s">
        <v>32</v>
      </c>
      <c r="C775" s="2" t="s">
        <v>33</v>
      </c>
      <c r="D775" s="4">
        <v>20000</v>
      </c>
      <c r="E77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75">
        <v>2</v>
      </c>
      <c r="G775" s="2" t="s">
        <v>18</v>
      </c>
      <c r="H775" s="2" t="s">
        <v>24</v>
      </c>
      <c r="I775" t="s">
        <v>17</v>
      </c>
      <c r="J775">
        <v>1</v>
      </c>
      <c r="K775" t="s">
        <v>15</v>
      </c>
      <c r="L775" s="2" t="s">
        <v>16</v>
      </c>
      <c r="M775" s="4">
        <v>53</v>
      </c>
      <c r="N775" s="4" t="str">
        <f>IF(Bike_Data[[#This Row],[Age]]&gt;=54,"Old",IF(Bike_Data[[#This Row],[Age]]&lt;30,"Young Adult","Middle Age"))</f>
        <v>Middle Age</v>
      </c>
      <c r="O775" s="5">
        <f t="shared" ca="1" si="12"/>
        <v>32257</v>
      </c>
      <c r="P775" s="2" t="s">
        <v>14</v>
      </c>
    </row>
    <row r="776" spans="1:16" x14ac:dyDescent="0.25">
      <c r="A776">
        <v>13586</v>
      </c>
      <c r="B776" s="2" t="s">
        <v>31</v>
      </c>
      <c r="C776" s="2" t="s">
        <v>34</v>
      </c>
      <c r="D776" s="4">
        <v>80000</v>
      </c>
      <c r="E77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76">
        <v>4</v>
      </c>
      <c r="G776" s="2" t="s">
        <v>18</v>
      </c>
      <c r="H776" s="2" t="s">
        <v>20</v>
      </c>
      <c r="I776" t="s">
        <v>14</v>
      </c>
      <c r="J776">
        <v>2</v>
      </c>
      <c r="K776" t="s">
        <v>37</v>
      </c>
      <c r="L776" s="2" t="s">
        <v>16</v>
      </c>
      <c r="M776" s="4">
        <v>53</v>
      </c>
      <c r="N776" s="4" t="str">
        <f>IF(Bike_Data[[#This Row],[Age]]&gt;=54,"Old",IF(Bike_Data[[#This Row],[Age]]&lt;30,"Young Adult","Middle Age"))</f>
        <v>Middle Age</v>
      </c>
      <c r="O776" s="5">
        <f t="shared" ca="1" si="12"/>
        <v>36945</v>
      </c>
      <c r="P776" s="2" t="s">
        <v>17</v>
      </c>
    </row>
    <row r="777" spans="1:16" x14ac:dyDescent="0.25">
      <c r="A777">
        <v>26167</v>
      </c>
      <c r="B777" s="2" t="s">
        <v>32</v>
      </c>
      <c r="C777" s="2" t="s">
        <v>33</v>
      </c>
      <c r="D777" s="4">
        <v>40000</v>
      </c>
      <c r="E77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77">
        <v>2</v>
      </c>
      <c r="G777" s="2" t="s">
        <v>12</v>
      </c>
      <c r="H777" s="2" t="s">
        <v>27</v>
      </c>
      <c r="I777" t="s">
        <v>17</v>
      </c>
      <c r="J777">
        <v>1</v>
      </c>
      <c r="K777" t="s">
        <v>22</v>
      </c>
      <c r="L777" s="2" t="s">
        <v>23</v>
      </c>
      <c r="M777" s="4">
        <v>53</v>
      </c>
      <c r="N777" s="4" t="str">
        <f>IF(Bike_Data[[#This Row],[Age]]&gt;=54,"Old",IF(Bike_Data[[#This Row],[Age]]&lt;30,"Young Adult","Middle Age"))</f>
        <v>Middle Age</v>
      </c>
      <c r="O777" s="5">
        <f t="shared" ca="1" si="12"/>
        <v>31499</v>
      </c>
      <c r="P777" s="2" t="s">
        <v>14</v>
      </c>
    </row>
    <row r="778" spans="1:16" x14ac:dyDescent="0.25">
      <c r="A778">
        <v>25792</v>
      </c>
      <c r="B778" s="2" t="s">
        <v>32</v>
      </c>
      <c r="C778" s="2" t="s">
        <v>33</v>
      </c>
      <c r="D778" s="4">
        <v>110000</v>
      </c>
      <c r="E778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778">
        <v>3</v>
      </c>
      <c r="G778" s="2" t="s">
        <v>12</v>
      </c>
      <c r="H778" s="2" t="s">
        <v>27</v>
      </c>
      <c r="I778" t="s">
        <v>14</v>
      </c>
      <c r="J778">
        <v>4</v>
      </c>
      <c r="K778" t="s">
        <v>37</v>
      </c>
      <c r="L778" s="2" t="s">
        <v>16</v>
      </c>
      <c r="M778" s="4">
        <v>53</v>
      </c>
      <c r="N778" s="4" t="str">
        <f>IF(Bike_Data[[#This Row],[Age]]&gt;=54,"Old",IF(Bike_Data[[#This Row],[Age]]&lt;30,"Young Adult","Middle Age"))</f>
        <v>Middle Age</v>
      </c>
      <c r="O778" s="5">
        <f t="shared" ca="1" si="12"/>
        <v>29873</v>
      </c>
      <c r="P778" s="2" t="s">
        <v>17</v>
      </c>
    </row>
    <row r="779" spans="1:16" x14ac:dyDescent="0.25">
      <c r="A779">
        <v>22175</v>
      </c>
      <c r="B779" s="2" t="s">
        <v>31</v>
      </c>
      <c r="C779" s="2" t="s">
        <v>33</v>
      </c>
      <c r="D779" s="4">
        <v>30000</v>
      </c>
      <c r="E77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79">
        <v>3</v>
      </c>
      <c r="G779" s="2" t="s">
        <v>26</v>
      </c>
      <c r="H779" s="2" t="s">
        <v>13</v>
      </c>
      <c r="I779" t="s">
        <v>14</v>
      </c>
      <c r="J779">
        <v>2</v>
      </c>
      <c r="K779" t="s">
        <v>22</v>
      </c>
      <c r="L779" s="2" t="s">
        <v>23</v>
      </c>
      <c r="M779" s="4">
        <v>53</v>
      </c>
      <c r="N779" s="4" t="str">
        <f>IF(Bike_Data[[#This Row],[Age]]&gt;=54,"Old",IF(Bike_Data[[#This Row],[Age]]&lt;30,"Young Adult","Middle Age"))</f>
        <v>Middle Age</v>
      </c>
      <c r="O779" s="5">
        <f t="shared" ca="1" si="12"/>
        <v>35450</v>
      </c>
      <c r="P779" s="2" t="s">
        <v>14</v>
      </c>
    </row>
    <row r="780" spans="1:16" x14ac:dyDescent="0.25">
      <c r="A780">
        <v>13585</v>
      </c>
      <c r="B780" s="2" t="s">
        <v>31</v>
      </c>
      <c r="C780" s="2" t="s">
        <v>33</v>
      </c>
      <c r="D780" s="4">
        <v>80000</v>
      </c>
      <c r="E78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0">
        <v>4</v>
      </c>
      <c r="G780" s="2" t="s">
        <v>18</v>
      </c>
      <c r="H780" s="2" t="s">
        <v>20</v>
      </c>
      <c r="I780" t="s">
        <v>17</v>
      </c>
      <c r="J780">
        <v>1</v>
      </c>
      <c r="K780" t="s">
        <v>21</v>
      </c>
      <c r="L780" s="2" t="s">
        <v>16</v>
      </c>
      <c r="M780" s="4">
        <v>53</v>
      </c>
      <c r="N780" s="4" t="str">
        <f>IF(Bike_Data[[#This Row],[Age]]&gt;=54,"Old",IF(Bike_Data[[#This Row],[Age]]&lt;30,"Young Adult","Middle Age"))</f>
        <v>Middle Age</v>
      </c>
      <c r="O780" s="5">
        <f t="shared" ca="1" si="12"/>
        <v>36554</v>
      </c>
      <c r="P780" s="2" t="s">
        <v>14</v>
      </c>
    </row>
    <row r="781" spans="1:16" x14ac:dyDescent="0.25">
      <c r="A781">
        <v>25898</v>
      </c>
      <c r="B781" s="2" t="s">
        <v>31</v>
      </c>
      <c r="C781" s="2" t="s">
        <v>33</v>
      </c>
      <c r="D781" s="4">
        <v>70000</v>
      </c>
      <c r="E78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1">
        <v>2</v>
      </c>
      <c r="G781" s="2" t="s">
        <v>26</v>
      </c>
      <c r="H781" s="2" t="s">
        <v>20</v>
      </c>
      <c r="I781" t="s">
        <v>14</v>
      </c>
      <c r="J781">
        <v>2</v>
      </c>
      <c r="K781" t="s">
        <v>21</v>
      </c>
      <c r="L781" s="2" t="s">
        <v>30</v>
      </c>
      <c r="M781" s="4">
        <v>53</v>
      </c>
      <c r="N781" s="4" t="str">
        <f>IF(Bike_Data[[#This Row],[Age]]&gt;=54,"Old",IF(Bike_Data[[#This Row],[Age]]&lt;30,"Young Adult","Middle Age"))</f>
        <v>Middle Age</v>
      </c>
      <c r="O781" s="5">
        <f t="shared" ca="1" si="12"/>
        <v>31168</v>
      </c>
      <c r="P781" s="2" t="s">
        <v>17</v>
      </c>
    </row>
    <row r="782" spans="1:16" x14ac:dyDescent="0.25">
      <c r="A782">
        <v>27673</v>
      </c>
      <c r="B782" s="2" t="s">
        <v>32</v>
      </c>
      <c r="C782" s="2" t="s">
        <v>33</v>
      </c>
      <c r="D782" s="4">
        <v>60000</v>
      </c>
      <c r="E78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2">
        <v>3</v>
      </c>
      <c r="G782" s="2" t="s">
        <v>29</v>
      </c>
      <c r="H782" s="2" t="s">
        <v>27</v>
      </c>
      <c r="I782" t="s">
        <v>14</v>
      </c>
      <c r="J782">
        <v>2</v>
      </c>
      <c r="K782" t="s">
        <v>22</v>
      </c>
      <c r="L782" s="2" t="s">
        <v>30</v>
      </c>
      <c r="M782" s="4">
        <v>53</v>
      </c>
      <c r="N782" s="4" t="str">
        <f>IF(Bike_Data[[#This Row],[Age]]&gt;=54,"Old",IF(Bike_Data[[#This Row],[Age]]&lt;30,"Young Adult","Middle Age"))</f>
        <v>Middle Age</v>
      </c>
      <c r="O782" s="5">
        <f t="shared" ca="1" si="12"/>
        <v>30106</v>
      </c>
      <c r="P782" s="2" t="s">
        <v>14</v>
      </c>
    </row>
    <row r="783" spans="1:16" x14ac:dyDescent="0.25">
      <c r="A783">
        <v>14493</v>
      </c>
      <c r="B783" s="2" t="s">
        <v>32</v>
      </c>
      <c r="C783" s="2" t="s">
        <v>33</v>
      </c>
      <c r="D783" s="4">
        <v>70000</v>
      </c>
      <c r="E7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3">
        <v>3</v>
      </c>
      <c r="G783" s="2" t="s">
        <v>29</v>
      </c>
      <c r="H783" s="2" t="s">
        <v>27</v>
      </c>
      <c r="I783" t="s">
        <v>17</v>
      </c>
      <c r="J783">
        <v>2</v>
      </c>
      <c r="K783" t="s">
        <v>25</v>
      </c>
      <c r="L783" s="2" t="s">
        <v>30</v>
      </c>
      <c r="M783" s="4">
        <v>53</v>
      </c>
      <c r="N783" s="4" t="str">
        <f>IF(Bike_Data[[#This Row],[Age]]&gt;=54,"Old",IF(Bike_Data[[#This Row],[Age]]&lt;30,"Young Adult","Middle Age"))</f>
        <v>Middle Age</v>
      </c>
      <c r="O783" s="5">
        <f t="shared" ca="1" si="12"/>
        <v>32808</v>
      </c>
      <c r="P783" s="2" t="s">
        <v>17</v>
      </c>
    </row>
    <row r="784" spans="1:16" x14ac:dyDescent="0.25">
      <c r="A784">
        <v>20084</v>
      </c>
      <c r="B784" s="2" t="s">
        <v>31</v>
      </c>
      <c r="C784" s="2" t="s">
        <v>34</v>
      </c>
      <c r="D784" s="4">
        <v>20000</v>
      </c>
      <c r="E78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84">
        <v>2</v>
      </c>
      <c r="G784" s="2" t="s">
        <v>26</v>
      </c>
      <c r="H784" s="2" t="s">
        <v>24</v>
      </c>
      <c r="I784" t="s">
        <v>17</v>
      </c>
      <c r="J784">
        <v>2</v>
      </c>
      <c r="K784" t="s">
        <v>15</v>
      </c>
      <c r="L784" s="2" t="s">
        <v>30</v>
      </c>
      <c r="M784" s="4">
        <v>53</v>
      </c>
      <c r="N784" s="4" t="str">
        <f>IF(Bike_Data[[#This Row],[Age]]&gt;=54,"Old",IF(Bike_Data[[#This Row],[Age]]&lt;30,"Young Adult","Middle Age"))</f>
        <v>Middle Age</v>
      </c>
      <c r="O784" s="5">
        <f t="shared" ca="1" si="12"/>
        <v>35646</v>
      </c>
      <c r="P784" s="2" t="s">
        <v>17</v>
      </c>
    </row>
    <row r="785" spans="1:16" x14ac:dyDescent="0.25">
      <c r="A785">
        <v>27441</v>
      </c>
      <c r="B785" s="2" t="s">
        <v>31</v>
      </c>
      <c r="C785" s="2" t="s">
        <v>34</v>
      </c>
      <c r="D785" s="4">
        <v>60000</v>
      </c>
      <c r="E78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5">
        <v>3</v>
      </c>
      <c r="G785" s="2" t="s">
        <v>26</v>
      </c>
      <c r="H785" s="2" t="s">
        <v>20</v>
      </c>
      <c r="I785" t="s">
        <v>17</v>
      </c>
      <c r="J785">
        <v>2</v>
      </c>
      <c r="K785" t="s">
        <v>21</v>
      </c>
      <c r="L785" s="2" t="s">
        <v>30</v>
      </c>
      <c r="M785" s="4">
        <v>53</v>
      </c>
      <c r="N785" s="4" t="str">
        <f>IF(Bike_Data[[#This Row],[Age]]&gt;=54,"Old",IF(Bike_Data[[#This Row],[Age]]&lt;30,"Young Adult","Middle Age"))</f>
        <v>Middle Age</v>
      </c>
      <c r="O785" s="5">
        <f t="shared" ca="1" si="12"/>
        <v>35547</v>
      </c>
      <c r="P785" s="2" t="s">
        <v>17</v>
      </c>
    </row>
    <row r="786" spans="1:16" x14ac:dyDescent="0.25">
      <c r="A786">
        <v>20076</v>
      </c>
      <c r="B786" s="2" t="s">
        <v>32</v>
      </c>
      <c r="C786" s="2" t="s">
        <v>33</v>
      </c>
      <c r="D786" s="4">
        <v>10000</v>
      </c>
      <c r="E78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86">
        <v>2</v>
      </c>
      <c r="G786" s="2" t="s">
        <v>26</v>
      </c>
      <c r="H786" s="2" t="s">
        <v>24</v>
      </c>
      <c r="I786" t="s">
        <v>14</v>
      </c>
      <c r="J786">
        <v>2</v>
      </c>
      <c r="K786" t="s">
        <v>25</v>
      </c>
      <c r="L786" s="2" t="s">
        <v>30</v>
      </c>
      <c r="M786" s="4">
        <v>53</v>
      </c>
      <c r="N786" s="4" t="str">
        <f>IF(Bike_Data[[#This Row],[Age]]&gt;=54,"Old",IF(Bike_Data[[#This Row],[Age]]&lt;30,"Young Adult","Middle Age"))</f>
        <v>Middle Age</v>
      </c>
      <c r="O786" s="5">
        <f t="shared" ca="1" si="12"/>
        <v>37403</v>
      </c>
      <c r="P786" s="2" t="s">
        <v>14</v>
      </c>
    </row>
    <row r="787" spans="1:16" x14ac:dyDescent="0.25">
      <c r="A787">
        <v>23248</v>
      </c>
      <c r="B787" s="2" t="s">
        <v>31</v>
      </c>
      <c r="C787" s="2" t="s">
        <v>33</v>
      </c>
      <c r="D787" s="4">
        <v>10000</v>
      </c>
      <c r="E78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87">
        <v>2</v>
      </c>
      <c r="G787" s="2" t="s">
        <v>26</v>
      </c>
      <c r="H787" s="2" t="s">
        <v>24</v>
      </c>
      <c r="I787" t="s">
        <v>14</v>
      </c>
      <c r="J787">
        <v>2</v>
      </c>
      <c r="K787" t="s">
        <v>25</v>
      </c>
      <c r="L787" s="2" t="s">
        <v>30</v>
      </c>
      <c r="M787" s="4">
        <v>53</v>
      </c>
      <c r="N787" s="4" t="str">
        <f>IF(Bike_Data[[#This Row],[Age]]&gt;=54,"Old",IF(Bike_Data[[#This Row],[Age]]&lt;30,"Young Adult","Middle Age"))</f>
        <v>Middle Age</v>
      </c>
      <c r="O787" s="5">
        <f t="shared" ca="1" si="12"/>
        <v>28938</v>
      </c>
      <c r="P787" s="2" t="s">
        <v>17</v>
      </c>
    </row>
    <row r="788" spans="1:16" x14ac:dyDescent="0.25">
      <c r="A788">
        <v>25899</v>
      </c>
      <c r="B788" s="2" t="s">
        <v>31</v>
      </c>
      <c r="C788" s="2" t="s">
        <v>33</v>
      </c>
      <c r="D788" s="4">
        <v>70000</v>
      </c>
      <c r="E78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8">
        <v>2</v>
      </c>
      <c r="G788" s="2" t="s">
        <v>26</v>
      </c>
      <c r="H788" s="2" t="s">
        <v>20</v>
      </c>
      <c r="I788" t="s">
        <v>14</v>
      </c>
      <c r="J788">
        <v>2</v>
      </c>
      <c r="K788" t="s">
        <v>37</v>
      </c>
      <c r="L788" s="2" t="s">
        <v>30</v>
      </c>
      <c r="M788" s="4">
        <v>53</v>
      </c>
      <c r="N788" s="4" t="str">
        <f>IF(Bike_Data[[#This Row],[Age]]&gt;=54,"Old",IF(Bike_Data[[#This Row],[Age]]&lt;30,"Young Adult","Middle Age"))</f>
        <v>Middle Age</v>
      </c>
      <c r="O788" s="5">
        <f t="shared" ca="1" si="12"/>
        <v>27565</v>
      </c>
      <c r="P788" s="2" t="s">
        <v>17</v>
      </c>
    </row>
    <row r="789" spans="1:16" x14ac:dyDescent="0.25">
      <c r="A789">
        <v>11233</v>
      </c>
      <c r="B789" s="2" t="s">
        <v>31</v>
      </c>
      <c r="C789" s="2" t="s">
        <v>34</v>
      </c>
      <c r="D789" s="4">
        <v>70000</v>
      </c>
      <c r="E78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89">
        <v>4</v>
      </c>
      <c r="G789" s="2" t="s">
        <v>18</v>
      </c>
      <c r="H789" s="2" t="s">
        <v>20</v>
      </c>
      <c r="I789" t="s">
        <v>14</v>
      </c>
      <c r="J789">
        <v>2</v>
      </c>
      <c r="K789" t="s">
        <v>37</v>
      </c>
      <c r="L789" s="2" t="s">
        <v>30</v>
      </c>
      <c r="M789" s="4">
        <v>53</v>
      </c>
      <c r="N789" s="4" t="str">
        <f>IF(Bike_Data[[#This Row],[Age]]&gt;=54,"Old",IF(Bike_Data[[#This Row],[Age]]&lt;30,"Young Adult","Middle Age"))</f>
        <v>Middle Age</v>
      </c>
      <c r="O789" s="5">
        <f t="shared" ca="1" si="12"/>
        <v>37630</v>
      </c>
      <c r="P789" s="2" t="s">
        <v>17</v>
      </c>
    </row>
    <row r="790" spans="1:16" x14ac:dyDescent="0.25">
      <c r="A790">
        <v>13714</v>
      </c>
      <c r="B790" s="2" t="s">
        <v>31</v>
      </c>
      <c r="C790" s="2" t="s">
        <v>33</v>
      </c>
      <c r="D790" s="4">
        <v>20000</v>
      </c>
      <c r="E7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90">
        <v>2</v>
      </c>
      <c r="G790" s="2" t="s">
        <v>26</v>
      </c>
      <c r="H790" s="2" t="s">
        <v>24</v>
      </c>
      <c r="I790" t="s">
        <v>17</v>
      </c>
      <c r="J790">
        <v>2</v>
      </c>
      <c r="K790" t="s">
        <v>25</v>
      </c>
      <c r="L790" s="2" t="s">
        <v>30</v>
      </c>
      <c r="M790" s="4">
        <v>53</v>
      </c>
      <c r="N790" s="4" t="str">
        <f>IF(Bike_Data[[#This Row],[Age]]&gt;=54,"Old",IF(Bike_Data[[#This Row],[Age]]&lt;30,"Young Adult","Middle Age"))</f>
        <v>Middle Age</v>
      </c>
      <c r="O790" s="5">
        <f t="shared" ca="1" si="12"/>
        <v>29383</v>
      </c>
      <c r="P790" s="2" t="s">
        <v>14</v>
      </c>
    </row>
    <row r="791" spans="1:16" x14ac:dyDescent="0.25">
      <c r="A791">
        <v>22118</v>
      </c>
      <c r="B791" s="2" t="s">
        <v>32</v>
      </c>
      <c r="C791" s="2" t="s">
        <v>33</v>
      </c>
      <c r="D791" s="4">
        <v>70000</v>
      </c>
      <c r="E79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1">
        <v>3</v>
      </c>
      <c r="G791" s="2" t="s">
        <v>29</v>
      </c>
      <c r="H791" s="2" t="s">
        <v>27</v>
      </c>
      <c r="I791" t="s">
        <v>14</v>
      </c>
      <c r="J791">
        <v>2</v>
      </c>
      <c r="K791" t="s">
        <v>22</v>
      </c>
      <c r="L791" s="2" t="s">
        <v>30</v>
      </c>
      <c r="M791" s="4">
        <v>53</v>
      </c>
      <c r="N791" s="4" t="str">
        <f>IF(Bike_Data[[#This Row],[Age]]&gt;=54,"Old",IF(Bike_Data[[#This Row],[Age]]&lt;30,"Young Adult","Middle Age"))</f>
        <v>Middle Age</v>
      </c>
      <c r="O791" s="5">
        <f t="shared" ca="1" si="12"/>
        <v>28961</v>
      </c>
      <c r="P791" s="2" t="s">
        <v>14</v>
      </c>
    </row>
    <row r="792" spans="1:16" x14ac:dyDescent="0.25">
      <c r="A792">
        <v>14883</v>
      </c>
      <c r="B792" s="2" t="s">
        <v>31</v>
      </c>
      <c r="C792" s="2" t="s">
        <v>33</v>
      </c>
      <c r="D792" s="4">
        <v>30000</v>
      </c>
      <c r="E79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92">
        <v>1</v>
      </c>
      <c r="G792" s="2" t="s">
        <v>12</v>
      </c>
      <c r="H792" s="2" t="s">
        <v>13</v>
      </c>
      <c r="I792" t="s">
        <v>14</v>
      </c>
      <c r="J792">
        <v>1</v>
      </c>
      <c r="K792" t="s">
        <v>22</v>
      </c>
      <c r="L792" s="2" t="s">
        <v>30</v>
      </c>
      <c r="M792" s="4">
        <v>53</v>
      </c>
      <c r="N792" s="4" t="str">
        <f>IF(Bike_Data[[#This Row],[Age]]&gt;=54,"Old",IF(Bike_Data[[#This Row],[Age]]&lt;30,"Young Adult","Middle Age"))</f>
        <v>Middle Age</v>
      </c>
      <c r="O792" s="5">
        <f t="shared" ca="1" si="12"/>
        <v>28843</v>
      </c>
      <c r="P792" s="2" t="s">
        <v>14</v>
      </c>
    </row>
    <row r="793" spans="1:16" x14ac:dyDescent="0.25">
      <c r="A793">
        <v>26728</v>
      </c>
      <c r="B793" s="2" t="s">
        <v>32</v>
      </c>
      <c r="C793" s="2" t="s">
        <v>34</v>
      </c>
      <c r="D793" s="4">
        <v>70000</v>
      </c>
      <c r="E79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3">
        <v>3</v>
      </c>
      <c r="G793" s="2" t="s">
        <v>29</v>
      </c>
      <c r="H793" s="2" t="s">
        <v>27</v>
      </c>
      <c r="I793" t="s">
        <v>17</v>
      </c>
      <c r="J793">
        <v>2</v>
      </c>
      <c r="K793" t="s">
        <v>25</v>
      </c>
      <c r="L793" s="2" t="s">
        <v>30</v>
      </c>
      <c r="M793" s="4">
        <v>53</v>
      </c>
      <c r="N793" s="4" t="str">
        <f>IF(Bike_Data[[#This Row],[Age]]&gt;=54,"Old",IF(Bike_Data[[#This Row],[Age]]&lt;30,"Young Adult","Middle Age"))</f>
        <v>Middle Age</v>
      </c>
      <c r="O793" s="5">
        <f t="shared" ca="1" si="12"/>
        <v>30733</v>
      </c>
      <c r="P793" s="2" t="s">
        <v>14</v>
      </c>
    </row>
    <row r="794" spans="1:16" x14ac:dyDescent="0.25">
      <c r="A794">
        <v>28056</v>
      </c>
      <c r="B794" s="2" t="s">
        <v>31</v>
      </c>
      <c r="C794" s="2" t="s">
        <v>34</v>
      </c>
      <c r="D794" s="4">
        <v>70000</v>
      </c>
      <c r="E7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4">
        <v>2</v>
      </c>
      <c r="G794" s="2" t="s">
        <v>28</v>
      </c>
      <c r="H794" s="2" t="s">
        <v>13</v>
      </c>
      <c r="I794" t="s">
        <v>14</v>
      </c>
      <c r="J794">
        <v>2</v>
      </c>
      <c r="K794" t="s">
        <v>37</v>
      </c>
      <c r="L794" s="2" t="s">
        <v>30</v>
      </c>
      <c r="M794" s="4">
        <v>53</v>
      </c>
      <c r="N794" s="4" t="str">
        <f>IF(Bike_Data[[#This Row],[Age]]&gt;=54,"Old",IF(Bike_Data[[#This Row],[Age]]&lt;30,"Young Adult","Middle Age"))</f>
        <v>Middle Age</v>
      </c>
      <c r="O794" s="5">
        <f t="shared" ca="1" si="12"/>
        <v>37794</v>
      </c>
      <c r="P794" s="2" t="s">
        <v>17</v>
      </c>
    </row>
    <row r="795" spans="1:16" x14ac:dyDescent="0.25">
      <c r="A795">
        <v>17462</v>
      </c>
      <c r="B795" s="2" t="s">
        <v>31</v>
      </c>
      <c r="C795" s="2" t="s">
        <v>34</v>
      </c>
      <c r="D795" s="4">
        <v>70000</v>
      </c>
      <c r="E79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5">
        <v>3</v>
      </c>
      <c r="G795" s="2" t="s">
        <v>29</v>
      </c>
      <c r="H795" s="2" t="s">
        <v>27</v>
      </c>
      <c r="I795" t="s">
        <v>14</v>
      </c>
      <c r="J795">
        <v>2</v>
      </c>
      <c r="K795" t="s">
        <v>22</v>
      </c>
      <c r="L795" s="2" t="s">
        <v>30</v>
      </c>
      <c r="M795" s="4">
        <v>53</v>
      </c>
      <c r="N795" s="4" t="str">
        <f>IF(Bike_Data[[#This Row],[Age]]&gt;=54,"Old",IF(Bike_Data[[#This Row],[Age]]&lt;30,"Young Adult","Middle Age"))</f>
        <v>Middle Age</v>
      </c>
      <c r="O795" s="5">
        <f t="shared" ca="1" si="12"/>
        <v>26753</v>
      </c>
      <c r="P795" s="2" t="s">
        <v>14</v>
      </c>
    </row>
    <row r="796" spans="1:16" x14ac:dyDescent="0.25">
      <c r="A796">
        <v>12121</v>
      </c>
      <c r="B796" s="2" t="s">
        <v>32</v>
      </c>
      <c r="C796" s="2" t="s">
        <v>34</v>
      </c>
      <c r="D796" s="4">
        <v>60000</v>
      </c>
      <c r="E79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6">
        <v>3</v>
      </c>
      <c r="G796" s="2" t="s">
        <v>26</v>
      </c>
      <c r="H796" s="2" t="s">
        <v>20</v>
      </c>
      <c r="I796" t="s">
        <v>14</v>
      </c>
      <c r="J796">
        <v>2</v>
      </c>
      <c r="K796" t="s">
        <v>37</v>
      </c>
      <c r="L796" s="2" t="s">
        <v>30</v>
      </c>
      <c r="M796" s="4">
        <v>53</v>
      </c>
      <c r="N796" s="4" t="str">
        <f>IF(Bike_Data[[#This Row],[Age]]&gt;=54,"Old",IF(Bike_Data[[#This Row],[Age]]&lt;30,"Young Adult","Middle Age"))</f>
        <v>Middle Age</v>
      </c>
      <c r="O796" s="5">
        <f t="shared" ca="1" si="12"/>
        <v>37627</v>
      </c>
      <c r="P796" s="2" t="s">
        <v>14</v>
      </c>
    </row>
    <row r="797" spans="1:16" x14ac:dyDescent="0.25">
      <c r="A797">
        <v>22173</v>
      </c>
      <c r="B797" s="2" t="s">
        <v>31</v>
      </c>
      <c r="C797" s="2" t="s">
        <v>33</v>
      </c>
      <c r="D797" s="4">
        <v>30000</v>
      </c>
      <c r="E79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97">
        <v>3</v>
      </c>
      <c r="G797" s="2" t="s">
        <v>26</v>
      </c>
      <c r="H797" s="2" t="s">
        <v>13</v>
      </c>
      <c r="I797" t="s">
        <v>17</v>
      </c>
      <c r="J797">
        <v>2</v>
      </c>
      <c r="K797" t="s">
        <v>25</v>
      </c>
      <c r="L797" s="2" t="s">
        <v>23</v>
      </c>
      <c r="M797" s="4">
        <v>54</v>
      </c>
      <c r="N797" s="4" t="str">
        <f>IF(Bike_Data[[#This Row],[Age]]&gt;=54,"Old",IF(Bike_Data[[#This Row],[Age]]&lt;30,"Young Adult","Middle Age"))</f>
        <v>Old</v>
      </c>
      <c r="O797" s="5">
        <f t="shared" ca="1" si="12"/>
        <v>28239</v>
      </c>
      <c r="P797" s="2" t="s">
        <v>14</v>
      </c>
    </row>
    <row r="798" spans="1:16" x14ac:dyDescent="0.25">
      <c r="A798">
        <v>28906</v>
      </c>
      <c r="B798" s="2" t="s">
        <v>31</v>
      </c>
      <c r="C798" s="2" t="s">
        <v>34</v>
      </c>
      <c r="D798" s="4">
        <v>80000</v>
      </c>
      <c r="E79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798">
        <v>4</v>
      </c>
      <c r="G798" s="2" t="s">
        <v>26</v>
      </c>
      <c r="H798" s="2" t="s">
        <v>20</v>
      </c>
      <c r="I798" t="s">
        <v>14</v>
      </c>
      <c r="J798">
        <v>2</v>
      </c>
      <c r="K798" t="s">
        <v>37</v>
      </c>
      <c r="L798" s="2" t="s">
        <v>16</v>
      </c>
      <c r="M798" s="4">
        <v>54</v>
      </c>
      <c r="N798" s="4" t="str">
        <f>IF(Bike_Data[[#This Row],[Age]]&gt;=54,"Old",IF(Bike_Data[[#This Row],[Age]]&lt;30,"Young Adult","Middle Age"))</f>
        <v>Old</v>
      </c>
      <c r="O798" s="5">
        <f t="shared" ca="1" si="12"/>
        <v>30157</v>
      </c>
      <c r="P798" s="2" t="s">
        <v>17</v>
      </c>
    </row>
    <row r="799" spans="1:16" x14ac:dyDescent="0.25">
      <c r="A799">
        <v>25605</v>
      </c>
      <c r="B799" s="2" t="s">
        <v>32</v>
      </c>
      <c r="C799" s="2" t="s">
        <v>33</v>
      </c>
      <c r="D799" s="4">
        <v>20000</v>
      </c>
      <c r="E79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799">
        <v>2</v>
      </c>
      <c r="G799" s="2" t="s">
        <v>18</v>
      </c>
      <c r="H799" s="2" t="s">
        <v>24</v>
      </c>
      <c r="I799" t="s">
        <v>17</v>
      </c>
      <c r="J799">
        <v>1</v>
      </c>
      <c r="K799" t="s">
        <v>15</v>
      </c>
      <c r="L799" s="2" t="s">
        <v>16</v>
      </c>
      <c r="M799" s="4">
        <v>54</v>
      </c>
      <c r="N799" s="4" t="str">
        <f>IF(Bike_Data[[#This Row],[Age]]&gt;=54,"Old",IF(Bike_Data[[#This Row],[Age]]&lt;30,"Young Adult","Middle Age"))</f>
        <v>Old</v>
      </c>
      <c r="O799" s="5">
        <f t="shared" ca="1" si="12"/>
        <v>28996</v>
      </c>
      <c r="P799" s="2" t="s">
        <v>14</v>
      </c>
    </row>
    <row r="800" spans="1:16" x14ac:dyDescent="0.25">
      <c r="A800">
        <v>27951</v>
      </c>
      <c r="B800" s="2" t="s">
        <v>32</v>
      </c>
      <c r="C800" s="2" t="s">
        <v>34</v>
      </c>
      <c r="D800" s="4">
        <v>80000</v>
      </c>
      <c r="E80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00">
        <v>4</v>
      </c>
      <c r="G800" s="2" t="s">
        <v>18</v>
      </c>
      <c r="H800" s="2" t="s">
        <v>20</v>
      </c>
      <c r="I800" t="s">
        <v>17</v>
      </c>
      <c r="J800">
        <v>2</v>
      </c>
      <c r="K800" t="s">
        <v>21</v>
      </c>
      <c r="L800" s="2" t="s">
        <v>16</v>
      </c>
      <c r="M800" s="4">
        <v>54</v>
      </c>
      <c r="N800" s="4" t="str">
        <f>IF(Bike_Data[[#This Row],[Age]]&gt;=54,"Old",IF(Bike_Data[[#This Row],[Age]]&lt;30,"Young Adult","Middle Age"))</f>
        <v>Old</v>
      </c>
      <c r="O800" s="5">
        <f t="shared" ca="1" si="12"/>
        <v>27555</v>
      </c>
      <c r="P800" s="2" t="s">
        <v>14</v>
      </c>
    </row>
    <row r="801" spans="1:16" x14ac:dyDescent="0.25">
      <c r="A801">
        <v>25026</v>
      </c>
      <c r="B801" s="2" t="s">
        <v>31</v>
      </c>
      <c r="C801" s="2" t="s">
        <v>34</v>
      </c>
      <c r="D801" s="4">
        <v>20000</v>
      </c>
      <c r="E8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01">
        <v>2</v>
      </c>
      <c r="G801" s="2" t="s">
        <v>28</v>
      </c>
      <c r="H801" s="2" t="s">
        <v>19</v>
      </c>
      <c r="I801" t="s">
        <v>14</v>
      </c>
      <c r="J801">
        <v>3</v>
      </c>
      <c r="K801" t="s">
        <v>22</v>
      </c>
      <c r="L801" s="2" t="s">
        <v>23</v>
      </c>
      <c r="M801" s="4">
        <v>54</v>
      </c>
      <c r="N801" s="4" t="str">
        <f>IF(Bike_Data[[#This Row],[Age]]&gt;=54,"Old",IF(Bike_Data[[#This Row],[Age]]&lt;30,"Young Adult","Middle Age"))</f>
        <v>Old</v>
      </c>
      <c r="O801" s="5">
        <f t="shared" ca="1" si="12"/>
        <v>29376</v>
      </c>
      <c r="P801" s="2" t="s">
        <v>17</v>
      </c>
    </row>
    <row r="802" spans="1:16" x14ac:dyDescent="0.25">
      <c r="A802">
        <v>29094</v>
      </c>
      <c r="B802" s="2" t="s">
        <v>31</v>
      </c>
      <c r="C802" s="2" t="s">
        <v>34</v>
      </c>
      <c r="D802" s="4">
        <v>30000</v>
      </c>
      <c r="E80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02">
        <v>3</v>
      </c>
      <c r="G802" s="2" t="s">
        <v>26</v>
      </c>
      <c r="H802" s="2" t="s">
        <v>13</v>
      </c>
      <c r="I802" t="s">
        <v>14</v>
      </c>
      <c r="J802">
        <v>2</v>
      </c>
      <c r="K802" t="s">
        <v>22</v>
      </c>
      <c r="L802" s="2" t="s">
        <v>23</v>
      </c>
      <c r="M802" s="4">
        <v>54</v>
      </c>
      <c r="N802" s="4" t="str">
        <f>IF(Bike_Data[[#This Row],[Age]]&gt;=54,"Old",IF(Bike_Data[[#This Row],[Age]]&lt;30,"Young Adult","Middle Age"))</f>
        <v>Old</v>
      </c>
      <c r="O802" s="5">
        <f t="shared" ca="1" si="12"/>
        <v>31255</v>
      </c>
      <c r="P802" s="2" t="s">
        <v>14</v>
      </c>
    </row>
    <row r="803" spans="1:16" x14ac:dyDescent="0.25">
      <c r="A803">
        <v>14189</v>
      </c>
      <c r="B803" s="2" t="s">
        <v>31</v>
      </c>
      <c r="C803" s="2" t="s">
        <v>33</v>
      </c>
      <c r="D803" s="4">
        <v>90000</v>
      </c>
      <c r="E80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03">
        <v>4</v>
      </c>
      <c r="G803" s="2" t="s">
        <v>26</v>
      </c>
      <c r="H803" s="2" t="s">
        <v>20</v>
      </c>
      <c r="I803" t="s">
        <v>17</v>
      </c>
      <c r="J803">
        <v>2</v>
      </c>
      <c r="K803" t="s">
        <v>21</v>
      </c>
      <c r="L803" s="2" t="s">
        <v>16</v>
      </c>
      <c r="M803" s="4">
        <v>54</v>
      </c>
      <c r="N803" s="4" t="str">
        <f>IF(Bike_Data[[#This Row],[Age]]&gt;=54,"Old",IF(Bike_Data[[#This Row],[Age]]&lt;30,"Young Adult","Middle Age"))</f>
        <v>Old</v>
      </c>
      <c r="O803" s="5">
        <f t="shared" ca="1" si="12"/>
        <v>36549</v>
      </c>
      <c r="P803" s="2" t="s">
        <v>14</v>
      </c>
    </row>
    <row r="804" spans="1:16" x14ac:dyDescent="0.25">
      <c r="A804">
        <v>19066</v>
      </c>
      <c r="B804" s="2" t="s">
        <v>31</v>
      </c>
      <c r="C804" s="2" t="s">
        <v>34</v>
      </c>
      <c r="D804" s="4">
        <v>130000</v>
      </c>
      <c r="E80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04">
        <v>4</v>
      </c>
      <c r="G804" s="2" t="s">
        <v>18</v>
      </c>
      <c r="H804" s="2" t="s">
        <v>20</v>
      </c>
      <c r="I804" t="s">
        <v>17</v>
      </c>
      <c r="J804">
        <v>3</v>
      </c>
      <c r="K804" t="s">
        <v>37</v>
      </c>
      <c r="L804" s="2" t="s">
        <v>16</v>
      </c>
      <c r="M804" s="4">
        <v>54</v>
      </c>
      <c r="N804" s="4" t="str">
        <f>IF(Bike_Data[[#This Row],[Age]]&gt;=54,"Old",IF(Bike_Data[[#This Row],[Age]]&lt;30,"Young Adult","Middle Age"))</f>
        <v>Old</v>
      </c>
      <c r="O804" s="5">
        <f t="shared" ca="1" si="12"/>
        <v>26907</v>
      </c>
      <c r="P804" s="2" t="s">
        <v>17</v>
      </c>
    </row>
    <row r="805" spans="1:16" x14ac:dyDescent="0.25">
      <c r="A805">
        <v>22174</v>
      </c>
      <c r="B805" s="2" t="s">
        <v>31</v>
      </c>
      <c r="C805" s="2" t="s">
        <v>34</v>
      </c>
      <c r="D805" s="4">
        <v>30000</v>
      </c>
      <c r="E80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05">
        <v>3</v>
      </c>
      <c r="G805" s="2" t="s">
        <v>26</v>
      </c>
      <c r="H805" s="2" t="s">
        <v>13</v>
      </c>
      <c r="I805" t="s">
        <v>14</v>
      </c>
      <c r="J805">
        <v>2</v>
      </c>
      <c r="K805" t="s">
        <v>22</v>
      </c>
      <c r="L805" s="2" t="s">
        <v>23</v>
      </c>
      <c r="M805" s="4">
        <v>54</v>
      </c>
      <c r="N805" s="4" t="str">
        <f>IF(Bike_Data[[#This Row],[Age]]&gt;=54,"Old",IF(Bike_Data[[#This Row],[Age]]&lt;30,"Young Adult","Middle Age"))</f>
        <v>Old</v>
      </c>
      <c r="O805" s="5">
        <f t="shared" ca="1" si="12"/>
        <v>32680</v>
      </c>
      <c r="P805" s="2" t="s">
        <v>14</v>
      </c>
    </row>
    <row r="806" spans="1:16" x14ac:dyDescent="0.25">
      <c r="A806">
        <v>14417</v>
      </c>
      <c r="B806" s="2" t="s">
        <v>32</v>
      </c>
      <c r="C806" s="2" t="s">
        <v>34</v>
      </c>
      <c r="D806" s="4">
        <v>60000</v>
      </c>
      <c r="E80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06">
        <v>3</v>
      </c>
      <c r="G806" s="2" t="s">
        <v>26</v>
      </c>
      <c r="H806" s="2" t="s">
        <v>20</v>
      </c>
      <c r="I806" t="s">
        <v>14</v>
      </c>
      <c r="J806">
        <v>2</v>
      </c>
      <c r="K806" t="s">
        <v>37</v>
      </c>
      <c r="L806" s="2" t="s">
        <v>30</v>
      </c>
      <c r="M806" s="4">
        <v>54</v>
      </c>
      <c r="N806" s="4" t="str">
        <f>IF(Bike_Data[[#This Row],[Age]]&gt;=54,"Old",IF(Bike_Data[[#This Row],[Age]]&lt;30,"Young Adult","Middle Age"))</f>
        <v>Old</v>
      </c>
      <c r="O806" s="5">
        <f t="shared" ca="1" si="12"/>
        <v>30559</v>
      </c>
      <c r="P806" s="2" t="s">
        <v>14</v>
      </c>
    </row>
    <row r="807" spans="1:16" x14ac:dyDescent="0.25">
      <c r="A807">
        <v>14495</v>
      </c>
      <c r="B807" s="2" t="s">
        <v>31</v>
      </c>
      <c r="C807" s="2" t="s">
        <v>34</v>
      </c>
      <c r="D807" s="4">
        <v>40000</v>
      </c>
      <c r="E80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07">
        <v>3</v>
      </c>
      <c r="G807" s="2" t="s">
        <v>18</v>
      </c>
      <c r="H807" s="2" t="s">
        <v>20</v>
      </c>
      <c r="I807" t="s">
        <v>17</v>
      </c>
      <c r="J807">
        <v>2</v>
      </c>
      <c r="K807" t="s">
        <v>22</v>
      </c>
      <c r="L807" s="2" t="s">
        <v>30</v>
      </c>
      <c r="M807" s="4">
        <v>54</v>
      </c>
      <c r="N807" s="4" t="str">
        <f>IF(Bike_Data[[#This Row],[Age]]&gt;=54,"Old",IF(Bike_Data[[#This Row],[Age]]&lt;30,"Young Adult","Middle Age"))</f>
        <v>Old</v>
      </c>
      <c r="O807" s="5">
        <f t="shared" ca="1" si="12"/>
        <v>31114</v>
      </c>
      <c r="P807" s="2" t="s">
        <v>14</v>
      </c>
    </row>
    <row r="808" spans="1:16" x14ac:dyDescent="0.25">
      <c r="A808">
        <v>29030</v>
      </c>
      <c r="B808" s="2" t="s">
        <v>31</v>
      </c>
      <c r="C808" s="2" t="s">
        <v>34</v>
      </c>
      <c r="D808" s="4">
        <v>70000</v>
      </c>
      <c r="E80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08">
        <v>2</v>
      </c>
      <c r="G808" s="2" t="s">
        <v>28</v>
      </c>
      <c r="H808" s="2" t="s">
        <v>13</v>
      </c>
      <c r="I808" t="s">
        <v>14</v>
      </c>
      <c r="J808">
        <v>2</v>
      </c>
      <c r="K808" t="s">
        <v>37</v>
      </c>
      <c r="L808" s="2" t="s">
        <v>30</v>
      </c>
      <c r="M808" s="4">
        <v>54</v>
      </c>
      <c r="N808" s="4" t="str">
        <f>IF(Bike_Data[[#This Row],[Age]]&gt;=54,"Old",IF(Bike_Data[[#This Row],[Age]]&lt;30,"Young Adult","Middle Age"))</f>
        <v>Old</v>
      </c>
      <c r="O808" s="5">
        <f t="shared" ca="1" si="12"/>
        <v>36009</v>
      </c>
      <c r="P808" s="2" t="s">
        <v>17</v>
      </c>
    </row>
    <row r="809" spans="1:16" x14ac:dyDescent="0.25">
      <c r="A809">
        <v>19889</v>
      </c>
      <c r="B809" s="2" t="s">
        <v>32</v>
      </c>
      <c r="C809" s="2" t="s">
        <v>33</v>
      </c>
      <c r="D809" s="4">
        <v>70000</v>
      </c>
      <c r="E80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09">
        <v>2</v>
      </c>
      <c r="G809" s="2" t="s">
        <v>28</v>
      </c>
      <c r="H809" s="2" t="s">
        <v>13</v>
      </c>
      <c r="I809" t="s">
        <v>17</v>
      </c>
      <c r="J809">
        <v>2</v>
      </c>
      <c r="K809" t="s">
        <v>21</v>
      </c>
      <c r="L809" s="2" t="s">
        <v>30</v>
      </c>
      <c r="M809" s="4">
        <v>54</v>
      </c>
      <c r="N809" s="4" t="str">
        <f>IF(Bike_Data[[#This Row],[Age]]&gt;=54,"Old",IF(Bike_Data[[#This Row],[Age]]&lt;30,"Young Adult","Middle Age"))</f>
        <v>Old</v>
      </c>
      <c r="O809" s="5">
        <f t="shared" ca="1" si="12"/>
        <v>35913</v>
      </c>
      <c r="P809" s="2" t="s">
        <v>14</v>
      </c>
    </row>
    <row r="810" spans="1:16" x14ac:dyDescent="0.25">
      <c r="A810">
        <v>16895</v>
      </c>
      <c r="B810" s="2" t="s">
        <v>31</v>
      </c>
      <c r="C810" s="2" t="s">
        <v>33</v>
      </c>
      <c r="D810" s="4">
        <v>40000</v>
      </c>
      <c r="E81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0">
        <v>3</v>
      </c>
      <c r="G810" s="2" t="s">
        <v>18</v>
      </c>
      <c r="H810" s="2" t="s">
        <v>20</v>
      </c>
      <c r="I810" t="s">
        <v>17</v>
      </c>
      <c r="J810">
        <v>2</v>
      </c>
      <c r="K810" t="s">
        <v>25</v>
      </c>
      <c r="L810" s="2" t="s">
        <v>30</v>
      </c>
      <c r="M810" s="4">
        <v>54</v>
      </c>
      <c r="N810" s="4" t="str">
        <f>IF(Bike_Data[[#This Row],[Age]]&gt;=54,"Old",IF(Bike_Data[[#This Row],[Age]]&lt;30,"Young Adult","Middle Age"))</f>
        <v>Old</v>
      </c>
      <c r="O810" s="5">
        <f t="shared" ca="1" si="12"/>
        <v>26812</v>
      </c>
      <c r="P810" s="2" t="s">
        <v>14</v>
      </c>
    </row>
    <row r="811" spans="1:16" x14ac:dyDescent="0.25">
      <c r="A811">
        <v>23513</v>
      </c>
      <c r="B811" s="2" t="s">
        <v>31</v>
      </c>
      <c r="C811" s="2" t="s">
        <v>33</v>
      </c>
      <c r="D811" s="4">
        <v>40000</v>
      </c>
      <c r="E81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1">
        <v>3</v>
      </c>
      <c r="G811" s="2" t="s">
        <v>18</v>
      </c>
      <c r="H811" s="2" t="s">
        <v>20</v>
      </c>
      <c r="I811" t="s">
        <v>14</v>
      </c>
      <c r="J811">
        <v>2</v>
      </c>
      <c r="K811" t="s">
        <v>22</v>
      </c>
      <c r="L811" s="2" t="s">
        <v>30</v>
      </c>
      <c r="M811" s="4">
        <v>54</v>
      </c>
      <c r="N811" s="4" t="str">
        <f>IF(Bike_Data[[#This Row],[Age]]&gt;=54,"Old",IF(Bike_Data[[#This Row],[Age]]&lt;30,"Young Adult","Middle Age"))</f>
        <v>Old</v>
      </c>
      <c r="O811" s="5">
        <f t="shared" ca="1" si="12"/>
        <v>34590</v>
      </c>
      <c r="P811" s="2" t="s">
        <v>17</v>
      </c>
    </row>
    <row r="812" spans="1:16" x14ac:dyDescent="0.25">
      <c r="A812">
        <v>23731</v>
      </c>
      <c r="B812" s="2" t="s">
        <v>31</v>
      </c>
      <c r="C812" s="2" t="s">
        <v>34</v>
      </c>
      <c r="D812" s="4">
        <v>60000</v>
      </c>
      <c r="E81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12" s="1">
        <v>2</v>
      </c>
      <c r="G812" s="2" t="s">
        <v>26</v>
      </c>
      <c r="H812" s="2" t="s">
        <v>20</v>
      </c>
      <c r="I812" t="s">
        <v>14</v>
      </c>
      <c r="J812">
        <v>2</v>
      </c>
      <c r="K812" t="s">
        <v>21</v>
      </c>
      <c r="L812" s="2" t="s">
        <v>30</v>
      </c>
      <c r="M812" s="4">
        <v>54</v>
      </c>
      <c r="N812" s="4" t="str">
        <f>IF(Bike_Data[[#This Row],[Age]]&gt;=54,"Old",IF(Bike_Data[[#This Row],[Age]]&lt;30,"Young Adult","Middle Age"))</f>
        <v>Old</v>
      </c>
      <c r="O812" s="5">
        <f t="shared" ca="1" si="12"/>
        <v>35322</v>
      </c>
      <c r="P812" s="2" t="s">
        <v>14</v>
      </c>
    </row>
    <row r="813" spans="1:16" x14ac:dyDescent="0.25">
      <c r="A813">
        <v>11434</v>
      </c>
      <c r="B813" s="2" t="s">
        <v>31</v>
      </c>
      <c r="C813" s="2" t="s">
        <v>34</v>
      </c>
      <c r="D813" s="4">
        <v>170000</v>
      </c>
      <c r="E81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13">
        <v>5</v>
      </c>
      <c r="G813" s="2" t="s">
        <v>18</v>
      </c>
      <c r="H813" s="2" t="s">
        <v>20</v>
      </c>
      <c r="I813" t="s">
        <v>14</v>
      </c>
      <c r="J813">
        <v>0</v>
      </c>
      <c r="K813" t="s">
        <v>15</v>
      </c>
      <c r="L813" s="2" t="s">
        <v>16</v>
      </c>
      <c r="M813" s="4">
        <v>55</v>
      </c>
      <c r="N813" s="4" t="str">
        <f>IF(Bike_Data[[#This Row],[Age]]&gt;=54,"Old",IF(Bike_Data[[#This Row],[Age]]&lt;30,"Young Adult","Middle Age"))</f>
        <v>Old</v>
      </c>
      <c r="O813" s="5">
        <f t="shared" ca="1" si="12"/>
        <v>33298</v>
      </c>
      <c r="P813" s="2" t="s">
        <v>17</v>
      </c>
    </row>
    <row r="814" spans="1:16" x14ac:dyDescent="0.25">
      <c r="A814">
        <v>25940</v>
      </c>
      <c r="B814" s="2" t="s">
        <v>32</v>
      </c>
      <c r="C814" s="2" t="s">
        <v>34</v>
      </c>
      <c r="D814" s="4">
        <v>20000</v>
      </c>
      <c r="E81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4">
        <v>2</v>
      </c>
      <c r="G814" s="2" t="s">
        <v>28</v>
      </c>
      <c r="H814" s="2" t="s">
        <v>19</v>
      </c>
      <c r="I814" t="s">
        <v>14</v>
      </c>
      <c r="J814">
        <v>2</v>
      </c>
      <c r="K814" t="s">
        <v>22</v>
      </c>
      <c r="L814" s="2" t="s">
        <v>23</v>
      </c>
      <c r="M814" s="4">
        <v>55</v>
      </c>
      <c r="N814" s="4" t="str">
        <f>IF(Bike_Data[[#This Row],[Age]]&gt;=54,"Old",IF(Bike_Data[[#This Row],[Age]]&lt;30,"Young Adult","Middle Age"))</f>
        <v>Old</v>
      </c>
      <c r="O814" s="5">
        <f t="shared" ca="1" si="12"/>
        <v>36439</v>
      </c>
      <c r="P814" s="2" t="s">
        <v>14</v>
      </c>
    </row>
    <row r="815" spans="1:16" x14ac:dyDescent="0.25">
      <c r="A815">
        <v>16487</v>
      </c>
      <c r="B815" s="2" t="s">
        <v>32</v>
      </c>
      <c r="C815" s="2" t="s">
        <v>33</v>
      </c>
      <c r="D815" s="4">
        <v>30000</v>
      </c>
      <c r="E81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5">
        <v>3</v>
      </c>
      <c r="G815" s="2" t="s">
        <v>26</v>
      </c>
      <c r="H815" s="2" t="s">
        <v>13</v>
      </c>
      <c r="I815" t="s">
        <v>14</v>
      </c>
      <c r="J815">
        <v>2</v>
      </c>
      <c r="K815" t="s">
        <v>22</v>
      </c>
      <c r="L815" s="2" t="s">
        <v>23</v>
      </c>
      <c r="M815" s="4">
        <v>55</v>
      </c>
      <c r="N815" s="4" t="str">
        <f>IF(Bike_Data[[#This Row],[Age]]&gt;=54,"Old",IF(Bike_Data[[#This Row],[Age]]&lt;30,"Young Adult","Middle Age"))</f>
        <v>Old</v>
      </c>
      <c r="O815" s="5">
        <f t="shared" ca="1" si="12"/>
        <v>34734</v>
      </c>
      <c r="P815" s="2" t="s">
        <v>17</v>
      </c>
    </row>
    <row r="816" spans="1:16" x14ac:dyDescent="0.25">
      <c r="A816">
        <v>24273</v>
      </c>
      <c r="B816" s="2" t="s">
        <v>31</v>
      </c>
      <c r="C816" s="2" t="s">
        <v>33</v>
      </c>
      <c r="D816" s="4">
        <v>20000</v>
      </c>
      <c r="E81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6">
        <v>2</v>
      </c>
      <c r="G816" s="2" t="s">
        <v>28</v>
      </c>
      <c r="H816" s="2" t="s">
        <v>19</v>
      </c>
      <c r="I816" t="s">
        <v>14</v>
      </c>
      <c r="J816">
        <v>2</v>
      </c>
      <c r="K816" t="s">
        <v>22</v>
      </c>
      <c r="L816" s="2" t="s">
        <v>23</v>
      </c>
      <c r="M816" s="4">
        <v>55</v>
      </c>
      <c r="N816" s="4" t="str">
        <f>IF(Bike_Data[[#This Row],[Age]]&gt;=54,"Old",IF(Bike_Data[[#This Row],[Age]]&lt;30,"Young Adult","Middle Age"))</f>
        <v>Old</v>
      </c>
      <c r="O816" s="5">
        <f t="shared" ca="1" si="12"/>
        <v>30603</v>
      </c>
      <c r="P816" s="2" t="s">
        <v>14</v>
      </c>
    </row>
    <row r="817" spans="1:16" x14ac:dyDescent="0.25">
      <c r="A817">
        <v>14191</v>
      </c>
      <c r="B817" s="2" t="s">
        <v>31</v>
      </c>
      <c r="C817" s="2" t="s">
        <v>34</v>
      </c>
      <c r="D817" s="4">
        <v>160000</v>
      </c>
      <c r="E817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17">
        <v>4</v>
      </c>
      <c r="G817" s="2" t="s">
        <v>18</v>
      </c>
      <c r="H817" s="2" t="s">
        <v>20</v>
      </c>
      <c r="I817" t="s">
        <v>17</v>
      </c>
      <c r="J817">
        <v>2</v>
      </c>
      <c r="K817" t="s">
        <v>37</v>
      </c>
      <c r="L817" s="2" t="s">
        <v>16</v>
      </c>
      <c r="M817" s="4">
        <v>55</v>
      </c>
      <c r="N817" s="4" t="str">
        <f>IF(Bike_Data[[#This Row],[Age]]&gt;=54,"Old",IF(Bike_Data[[#This Row],[Age]]&lt;30,"Young Adult","Middle Age"))</f>
        <v>Old</v>
      </c>
      <c r="O817" s="5">
        <f t="shared" ca="1" si="12"/>
        <v>27449</v>
      </c>
      <c r="P817" s="2" t="s">
        <v>14</v>
      </c>
    </row>
    <row r="818" spans="1:16" x14ac:dyDescent="0.25">
      <c r="A818">
        <v>22170</v>
      </c>
      <c r="B818" s="2" t="s">
        <v>31</v>
      </c>
      <c r="C818" s="2" t="s">
        <v>33</v>
      </c>
      <c r="D818" s="4">
        <v>30000</v>
      </c>
      <c r="E81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8">
        <v>3</v>
      </c>
      <c r="G818" s="2" t="s">
        <v>18</v>
      </c>
      <c r="H818" s="2" t="s">
        <v>19</v>
      </c>
      <c r="I818" t="s">
        <v>17</v>
      </c>
      <c r="J818">
        <v>2</v>
      </c>
      <c r="K818" t="s">
        <v>25</v>
      </c>
      <c r="L818" s="2" t="s">
        <v>23</v>
      </c>
      <c r="M818" s="4">
        <v>55</v>
      </c>
      <c r="N818" s="4" t="str">
        <f>IF(Bike_Data[[#This Row],[Age]]&gt;=54,"Old",IF(Bike_Data[[#This Row],[Age]]&lt;30,"Young Adult","Middle Age"))</f>
        <v>Old</v>
      </c>
      <c r="O818" s="5">
        <f t="shared" ca="1" si="12"/>
        <v>29965</v>
      </c>
      <c r="P818" s="2" t="s">
        <v>14</v>
      </c>
    </row>
    <row r="819" spans="1:16" x14ac:dyDescent="0.25">
      <c r="A819">
        <v>16489</v>
      </c>
      <c r="B819" s="2" t="s">
        <v>31</v>
      </c>
      <c r="C819" s="2" t="s">
        <v>34</v>
      </c>
      <c r="D819" s="4">
        <v>30000</v>
      </c>
      <c r="E81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19">
        <v>3</v>
      </c>
      <c r="G819" s="2" t="s">
        <v>26</v>
      </c>
      <c r="H819" s="2" t="s">
        <v>13</v>
      </c>
      <c r="I819" t="s">
        <v>14</v>
      </c>
      <c r="J819">
        <v>2</v>
      </c>
      <c r="K819" t="s">
        <v>22</v>
      </c>
      <c r="L819" s="2" t="s">
        <v>23</v>
      </c>
      <c r="M819" s="4">
        <v>55</v>
      </c>
      <c r="N819" s="4" t="str">
        <f>IF(Bike_Data[[#This Row],[Age]]&gt;=54,"Old",IF(Bike_Data[[#This Row],[Age]]&lt;30,"Young Adult","Middle Age"))</f>
        <v>Old</v>
      </c>
      <c r="O819" s="5">
        <f t="shared" ca="1" si="12"/>
        <v>33332</v>
      </c>
      <c r="P819" s="2" t="s">
        <v>17</v>
      </c>
    </row>
    <row r="820" spans="1:16" x14ac:dyDescent="0.25">
      <c r="A820">
        <v>18172</v>
      </c>
      <c r="B820" s="2" t="s">
        <v>31</v>
      </c>
      <c r="C820" s="2" t="s">
        <v>34</v>
      </c>
      <c r="D820" s="4">
        <v>130000</v>
      </c>
      <c r="E820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20">
        <v>4</v>
      </c>
      <c r="G820" s="2" t="s">
        <v>26</v>
      </c>
      <c r="H820" s="2" t="s">
        <v>20</v>
      </c>
      <c r="I820" t="s">
        <v>14</v>
      </c>
      <c r="J820">
        <v>3</v>
      </c>
      <c r="K820" t="s">
        <v>15</v>
      </c>
      <c r="L820" s="2" t="s">
        <v>16</v>
      </c>
      <c r="M820" s="4">
        <v>55</v>
      </c>
      <c r="N820" s="4" t="str">
        <f>IF(Bike_Data[[#This Row],[Age]]&gt;=54,"Old",IF(Bike_Data[[#This Row],[Age]]&lt;30,"Young Adult","Middle Age"))</f>
        <v>Old</v>
      </c>
      <c r="O820" s="5">
        <f t="shared" ca="1" si="12"/>
        <v>29575</v>
      </c>
      <c r="P820" s="2" t="s">
        <v>17</v>
      </c>
    </row>
    <row r="821" spans="1:16" x14ac:dyDescent="0.25">
      <c r="A821">
        <v>15019</v>
      </c>
      <c r="B821" s="2" t="s">
        <v>32</v>
      </c>
      <c r="C821" s="2" t="s">
        <v>33</v>
      </c>
      <c r="D821" s="4">
        <v>30000</v>
      </c>
      <c r="E82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21">
        <v>3</v>
      </c>
      <c r="G821" s="2" t="s">
        <v>26</v>
      </c>
      <c r="H821" s="2" t="s">
        <v>13</v>
      </c>
      <c r="I821" t="s">
        <v>14</v>
      </c>
      <c r="J821">
        <v>2</v>
      </c>
      <c r="K821" t="s">
        <v>22</v>
      </c>
      <c r="L821" s="2" t="s">
        <v>23</v>
      </c>
      <c r="M821" s="4">
        <v>55</v>
      </c>
      <c r="N821" s="4" t="str">
        <f>IF(Bike_Data[[#This Row],[Age]]&gt;=54,"Old",IF(Bike_Data[[#This Row],[Age]]&lt;30,"Young Adult","Middle Age"))</f>
        <v>Old</v>
      </c>
      <c r="O821" s="5">
        <f t="shared" ca="1" si="12"/>
        <v>35877</v>
      </c>
      <c r="P821" s="2" t="s">
        <v>17</v>
      </c>
    </row>
    <row r="822" spans="1:16" x14ac:dyDescent="0.25">
      <c r="A822">
        <v>19884</v>
      </c>
      <c r="B822" s="2" t="s">
        <v>31</v>
      </c>
      <c r="C822" s="2" t="s">
        <v>34</v>
      </c>
      <c r="D822" s="4">
        <v>60000</v>
      </c>
      <c r="E82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2">
        <v>2</v>
      </c>
      <c r="G822" s="2" t="s">
        <v>26</v>
      </c>
      <c r="H822" s="2" t="s">
        <v>20</v>
      </c>
      <c r="I822" t="s">
        <v>14</v>
      </c>
      <c r="J822">
        <v>2</v>
      </c>
      <c r="K822" t="s">
        <v>21</v>
      </c>
      <c r="L822" s="2" t="s">
        <v>30</v>
      </c>
      <c r="M822" s="4">
        <v>55</v>
      </c>
      <c r="N822" s="4" t="str">
        <f>IF(Bike_Data[[#This Row],[Age]]&gt;=54,"Old",IF(Bike_Data[[#This Row],[Age]]&lt;30,"Young Adult","Middle Age"))</f>
        <v>Old</v>
      </c>
      <c r="O822" s="5">
        <f t="shared" ca="1" si="12"/>
        <v>31118</v>
      </c>
      <c r="P822" s="2" t="s">
        <v>14</v>
      </c>
    </row>
    <row r="823" spans="1:16" x14ac:dyDescent="0.25">
      <c r="A823">
        <v>20528</v>
      </c>
      <c r="B823" s="2" t="s">
        <v>31</v>
      </c>
      <c r="C823" s="2" t="s">
        <v>34</v>
      </c>
      <c r="D823" s="4">
        <v>40000</v>
      </c>
      <c r="E82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23">
        <v>2</v>
      </c>
      <c r="G823" s="2" t="s">
        <v>28</v>
      </c>
      <c r="H823" s="2" t="s">
        <v>13</v>
      </c>
      <c r="I823" t="s">
        <v>14</v>
      </c>
      <c r="J823">
        <v>2</v>
      </c>
      <c r="K823" t="s">
        <v>21</v>
      </c>
      <c r="L823" s="2" t="s">
        <v>30</v>
      </c>
      <c r="M823" s="4">
        <v>55</v>
      </c>
      <c r="N823" s="4" t="str">
        <f>IF(Bike_Data[[#This Row],[Age]]&gt;=54,"Old",IF(Bike_Data[[#This Row],[Age]]&lt;30,"Young Adult","Middle Age"))</f>
        <v>Old</v>
      </c>
      <c r="O823" s="5">
        <f t="shared" ca="1" si="12"/>
        <v>37640</v>
      </c>
      <c r="P823" s="2" t="s">
        <v>17</v>
      </c>
    </row>
    <row r="824" spans="1:16" x14ac:dyDescent="0.25">
      <c r="A824">
        <v>21801</v>
      </c>
      <c r="B824" s="2" t="s">
        <v>31</v>
      </c>
      <c r="C824" s="2" t="s">
        <v>33</v>
      </c>
      <c r="D824" s="4">
        <v>70000</v>
      </c>
      <c r="E82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4">
        <v>4</v>
      </c>
      <c r="G824" s="2" t="s">
        <v>18</v>
      </c>
      <c r="H824" s="2" t="s">
        <v>20</v>
      </c>
      <c r="I824" t="s">
        <v>14</v>
      </c>
      <c r="J824">
        <v>1</v>
      </c>
      <c r="K824" t="s">
        <v>25</v>
      </c>
      <c r="L824" s="2" t="s">
        <v>30</v>
      </c>
      <c r="M824" s="4">
        <v>55</v>
      </c>
      <c r="N824" s="4" t="str">
        <f>IF(Bike_Data[[#This Row],[Age]]&gt;=54,"Old",IF(Bike_Data[[#This Row],[Age]]&lt;30,"Young Adult","Middle Age"))</f>
        <v>Old</v>
      </c>
      <c r="O824" s="5">
        <f t="shared" ca="1" si="12"/>
        <v>33876</v>
      </c>
      <c r="P824" s="2" t="s">
        <v>17</v>
      </c>
    </row>
    <row r="825" spans="1:16" x14ac:dyDescent="0.25">
      <c r="A825">
        <v>11225</v>
      </c>
      <c r="B825" s="2" t="s">
        <v>31</v>
      </c>
      <c r="C825" s="2" t="s">
        <v>33</v>
      </c>
      <c r="D825" s="4">
        <v>60000</v>
      </c>
      <c r="E82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5">
        <v>2</v>
      </c>
      <c r="G825" s="2" t="s">
        <v>18</v>
      </c>
      <c r="H825" s="2" t="s">
        <v>20</v>
      </c>
      <c r="I825" t="s">
        <v>14</v>
      </c>
      <c r="J825">
        <v>1</v>
      </c>
      <c r="K825" t="s">
        <v>37</v>
      </c>
      <c r="L825" s="2" t="s">
        <v>30</v>
      </c>
      <c r="M825" s="4">
        <v>55</v>
      </c>
      <c r="N825" s="4" t="str">
        <f>IF(Bike_Data[[#This Row],[Age]]&gt;=54,"Old",IF(Bike_Data[[#This Row],[Age]]&lt;30,"Young Adult","Middle Age"))</f>
        <v>Old</v>
      </c>
      <c r="O825" s="5">
        <f t="shared" ca="1" si="12"/>
        <v>30367</v>
      </c>
      <c r="P825" s="2" t="s">
        <v>17</v>
      </c>
    </row>
    <row r="826" spans="1:16" x14ac:dyDescent="0.25">
      <c r="A826">
        <v>17699</v>
      </c>
      <c r="B826" s="2" t="s">
        <v>31</v>
      </c>
      <c r="C826" s="2" t="s">
        <v>34</v>
      </c>
      <c r="D826" s="4">
        <v>60000</v>
      </c>
      <c r="E82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6">
        <v>1</v>
      </c>
      <c r="G826" s="2" t="s">
        <v>29</v>
      </c>
      <c r="H826" s="2" t="s">
        <v>13</v>
      </c>
      <c r="I826" t="s">
        <v>17</v>
      </c>
      <c r="J826">
        <v>0</v>
      </c>
      <c r="K826" t="s">
        <v>15</v>
      </c>
      <c r="L826" s="2" t="s">
        <v>30</v>
      </c>
      <c r="M826" s="4">
        <v>55</v>
      </c>
      <c r="N826" s="4" t="str">
        <f>IF(Bike_Data[[#This Row],[Age]]&gt;=54,"Old",IF(Bike_Data[[#This Row],[Age]]&lt;30,"Young Adult","Middle Age"))</f>
        <v>Old</v>
      </c>
      <c r="O826" s="5">
        <f t="shared" ca="1" si="12"/>
        <v>27521</v>
      </c>
      <c r="P826" s="2" t="s">
        <v>17</v>
      </c>
    </row>
    <row r="827" spans="1:16" x14ac:dyDescent="0.25">
      <c r="A827">
        <v>18105</v>
      </c>
      <c r="B827" s="2" t="s">
        <v>31</v>
      </c>
      <c r="C827" s="2" t="s">
        <v>33</v>
      </c>
      <c r="D827" s="4">
        <v>60000</v>
      </c>
      <c r="E82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7">
        <v>2</v>
      </c>
      <c r="G827" s="2" t="s">
        <v>18</v>
      </c>
      <c r="H827" s="2" t="s">
        <v>20</v>
      </c>
      <c r="I827" t="s">
        <v>14</v>
      </c>
      <c r="J827">
        <v>1</v>
      </c>
      <c r="K827" t="s">
        <v>37</v>
      </c>
      <c r="L827" s="2" t="s">
        <v>30</v>
      </c>
      <c r="M827" s="4">
        <v>55</v>
      </c>
      <c r="N827" s="4" t="str">
        <f>IF(Bike_Data[[#This Row],[Age]]&gt;=54,"Old",IF(Bike_Data[[#This Row],[Age]]&lt;30,"Young Adult","Middle Age"))</f>
        <v>Old</v>
      </c>
      <c r="O827" s="5">
        <f t="shared" ca="1" si="12"/>
        <v>35943</v>
      </c>
      <c r="P827" s="2" t="s">
        <v>17</v>
      </c>
    </row>
    <row r="828" spans="1:16" x14ac:dyDescent="0.25">
      <c r="A828">
        <v>28052</v>
      </c>
      <c r="B828" s="2" t="s">
        <v>31</v>
      </c>
      <c r="C828" s="2" t="s">
        <v>34</v>
      </c>
      <c r="D828" s="4">
        <v>60000</v>
      </c>
      <c r="E82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8">
        <v>2</v>
      </c>
      <c r="G828" s="2" t="s">
        <v>26</v>
      </c>
      <c r="H828" s="2" t="s">
        <v>20</v>
      </c>
      <c r="I828" t="s">
        <v>14</v>
      </c>
      <c r="J828">
        <v>2</v>
      </c>
      <c r="K828" t="s">
        <v>37</v>
      </c>
      <c r="L828" s="2" t="s">
        <v>30</v>
      </c>
      <c r="M828" s="4">
        <v>55</v>
      </c>
      <c r="N828" s="4" t="str">
        <f>IF(Bike_Data[[#This Row],[Age]]&gt;=54,"Old",IF(Bike_Data[[#This Row],[Age]]&lt;30,"Young Adult","Middle Age"))</f>
        <v>Old</v>
      </c>
      <c r="O828" s="5">
        <f t="shared" ca="1" si="12"/>
        <v>32927</v>
      </c>
      <c r="P828" s="2" t="s">
        <v>17</v>
      </c>
    </row>
    <row r="829" spans="1:16" x14ac:dyDescent="0.25">
      <c r="A829">
        <v>11219</v>
      </c>
      <c r="B829" s="2" t="s">
        <v>31</v>
      </c>
      <c r="C829" s="2" t="s">
        <v>34</v>
      </c>
      <c r="D829" s="4">
        <v>60000</v>
      </c>
      <c r="E82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29">
        <v>2</v>
      </c>
      <c r="G829" s="2" t="s">
        <v>26</v>
      </c>
      <c r="H829" s="2" t="s">
        <v>20</v>
      </c>
      <c r="I829" t="s">
        <v>14</v>
      </c>
      <c r="J829">
        <v>2</v>
      </c>
      <c r="K829" t="s">
        <v>37</v>
      </c>
      <c r="L829" s="2" t="s">
        <v>30</v>
      </c>
      <c r="M829" s="4">
        <v>55</v>
      </c>
      <c r="N829" s="4" t="str">
        <f>IF(Bike_Data[[#This Row],[Age]]&gt;=54,"Old",IF(Bike_Data[[#This Row],[Age]]&lt;30,"Young Adult","Middle Age"))</f>
        <v>Old</v>
      </c>
      <c r="O829" s="5">
        <f t="shared" ca="1" si="12"/>
        <v>37050</v>
      </c>
      <c r="P829" s="2" t="s">
        <v>17</v>
      </c>
    </row>
    <row r="830" spans="1:16" x14ac:dyDescent="0.25">
      <c r="A830">
        <v>16813</v>
      </c>
      <c r="B830" s="2" t="s">
        <v>31</v>
      </c>
      <c r="C830" s="2" t="s">
        <v>34</v>
      </c>
      <c r="D830" s="4">
        <v>60000</v>
      </c>
      <c r="E83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0">
        <v>2</v>
      </c>
      <c r="G830" s="2" t="s">
        <v>18</v>
      </c>
      <c r="H830" s="2" t="s">
        <v>20</v>
      </c>
      <c r="I830" t="s">
        <v>14</v>
      </c>
      <c r="J830">
        <v>2</v>
      </c>
      <c r="K830" t="s">
        <v>37</v>
      </c>
      <c r="L830" s="2" t="s">
        <v>30</v>
      </c>
      <c r="M830" s="4">
        <v>55</v>
      </c>
      <c r="N830" s="4" t="str">
        <f>IF(Bike_Data[[#This Row],[Age]]&gt;=54,"Old",IF(Bike_Data[[#This Row],[Age]]&lt;30,"Young Adult","Middle Age"))</f>
        <v>Old</v>
      </c>
      <c r="O830" s="5">
        <f t="shared" ca="1" si="12"/>
        <v>37842</v>
      </c>
      <c r="P830" s="2" t="s">
        <v>17</v>
      </c>
    </row>
    <row r="831" spans="1:16" x14ac:dyDescent="0.25">
      <c r="A831">
        <v>26412</v>
      </c>
      <c r="B831" s="2" t="s">
        <v>31</v>
      </c>
      <c r="C831" s="2" t="s">
        <v>33</v>
      </c>
      <c r="D831" s="4">
        <v>80000</v>
      </c>
      <c r="E83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1">
        <v>5</v>
      </c>
      <c r="G831" s="2" t="s">
        <v>26</v>
      </c>
      <c r="H831" s="2" t="s">
        <v>27</v>
      </c>
      <c r="I831" t="s">
        <v>17</v>
      </c>
      <c r="J831">
        <v>3</v>
      </c>
      <c r="K831" t="s">
        <v>22</v>
      </c>
      <c r="L831" s="2" t="s">
        <v>16</v>
      </c>
      <c r="M831" s="4">
        <v>56</v>
      </c>
      <c r="N831" s="4" t="str">
        <f>IF(Bike_Data[[#This Row],[Age]]&gt;=54,"Old",IF(Bike_Data[[#This Row],[Age]]&lt;30,"Young Adult","Middle Age"))</f>
        <v>Old</v>
      </c>
      <c r="O831" s="5">
        <f t="shared" ca="1" si="12"/>
        <v>35742</v>
      </c>
      <c r="P831" s="2" t="s">
        <v>17</v>
      </c>
    </row>
    <row r="832" spans="1:16" x14ac:dyDescent="0.25">
      <c r="A832">
        <v>24871</v>
      </c>
      <c r="B832" s="2" t="s">
        <v>32</v>
      </c>
      <c r="C832" s="2" t="s">
        <v>33</v>
      </c>
      <c r="D832" s="4">
        <v>90000</v>
      </c>
      <c r="E83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2">
        <v>4</v>
      </c>
      <c r="G832" s="2" t="s">
        <v>26</v>
      </c>
      <c r="H832" s="2" t="s">
        <v>27</v>
      </c>
      <c r="I832" t="s">
        <v>17</v>
      </c>
      <c r="J832">
        <v>3</v>
      </c>
      <c r="K832" t="s">
        <v>22</v>
      </c>
      <c r="L832" s="2" t="s">
        <v>16</v>
      </c>
      <c r="M832" s="4">
        <v>56</v>
      </c>
      <c r="N832" s="4" t="str">
        <f>IF(Bike_Data[[#This Row],[Age]]&gt;=54,"Old",IF(Bike_Data[[#This Row],[Age]]&lt;30,"Young Adult","Middle Age"))</f>
        <v>Old</v>
      </c>
      <c r="O832" s="5">
        <f t="shared" ca="1" si="12"/>
        <v>37953</v>
      </c>
      <c r="P832" s="2" t="s">
        <v>17</v>
      </c>
    </row>
    <row r="833" spans="1:16" x14ac:dyDescent="0.25">
      <c r="A833">
        <v>23627</v>
      </c>
      <c r="B833" s="2" t="s">
        <v>32</v>
      </c>
      <c r="C833" s="2" t="s">
        <v>33</v>
      </c>
      <c r="D833" s="4">
        <v>100000</v>
      </c>
      <c r="E83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3">
        <v>3</v>
      </c>
      <c r="G833" s="2" t="s">
        <v>18</v>
      </c>
      <c r="H833" s="2" t="s">
        <v>27</v>
      </c>
      <c r="I833" t="s">
        <v>17</v>
      </c>
      <c r="J833">
        <v>4</v>
      </c>
      <c r="K833" t="s">
        <v>22</v>
      </c>
      <c r="L833" s="2" t="s">
        <v>16</v>
      </c>
      <c r="M833" s="4">
        <v>56</v>
      </c>
      <c r="N833" s="4" t="str">
        <f>IF(Bike_Data[[#This Row],[Age]]&gt;=54,"Old",IF(Bike_Data[[#This Row],[Age]]&lt;30,"Young Adult","Middle Age"))</f>
        <v>Old</v>
      </c>
      <c r="O833" s="5">
        <f t="shared" ca="1" si="12"/>
        <v>30720</v>
      </c>
      <c r="P833" s="2" t="s">
        <v>17</v>
      </c>
    </row>
    <row r="834" spans="1:16" x14ac:dyDescent="0.25">
      <c r="A834">
        <v>14192</v>
      </c>
      <c r="B834" s="2" t="s">
        <v>31</v>
      </c>
      <c r="C834" s="2" t="s">
        <v>34</v>
      </c>
      <c r="D834" s="4">
        <v>90000</v>
      </c>
      <c r="E83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4">
        <v>4</v>
      </c>
      <c r="G834" s="2" t="s">
        <v>26</v>
      </c>
      <c r="H834" s="2" t="s">
        <v>27</v>
      </c>
      <c r="I834" t="s">
        <v>14</v>
      </c>
      <c r="J834">
        <v>3</v>
      </c>
      <c r="K834" t="s">
        <v>22</v>
      </c>
      <c r="L834" s="2" t="s">
        <v>16</v>
      </c>
      <c r="M834" s="4">
        <v>56</v>
      </c>
      <c r="N834" s="4" t="str">
        <f>IF(Bike_Data[[#This Row],[Age]]&gt;=54,"Old",IF(Bike_Data[[#This Row],[Age]]&lt;30,"Young Adult","Middle Age"))</f>
        <v>Old</v>
      </c>
      <c r="O834" s="5">
        <f t="shared" ca="1" si="12"/>
        <v>27018</v>
      </c>
      <c r="P834" s="2" t="s">
        <v>14</v>
      </c>
    </row>
    <row r="835" spans="1:16" x14ac:dyDescent="0.25">
      <c r="A835">
        <v>11047</v>
      </c>
      <c r="B835" s="2" t="s">
        <v>31</v>
      </c>
      <c r="C835" s="2" t="s">
        <v>33</v>
      </c>
      <c r="D835" s="4">
        <v>30000</v>
      </c>
      <c r="E83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35">
        <v>3</v>
      </c>
      <c r="G835" s="2" t="s">
        <v>26</v>
      </c>
      <c r="H835" s="2" t="s">
        <v>13</v>
      </c>
      <c r="I835" t="s">
        <v>17</v>
      </c>
      <c r="J835">
        <v>2</v>
      </c>
      <c r="K835" t="s">
        <v>25</v>
      </c>
      <c r="L835" s="2" t="s">
        <v>23</v>
      </c>
      <c r="M835" s="4">
        <v>56</v>
      </c>
      <c r="N835" s="4" t="str">
        <f>IF(Bike_Data[[#This Row],[Age]]&gt;=54,"Old",IF(Bike_Data[[#This Row],[Age]]&lt;30,"Young Adult","Middle Age"))</f>
        <v>Old</v>
      </c>
      <c r="O835" s="5">
        <f t="shared" ref="O835:O898" ca="1" si="13">RANDBETWEEN(DATE(1971,1,1), DATE(2003,12,31))</f>
        <v>25973</v>
      </c>
      <c r="P835" s="2" t="s">
        <v>14</v>
      </c>
    </row>
    <row r="836" spans="1:16" x14ac:dyDescent="0.25">
      <c r="A836">
        <v>22830</v>
      </c>
      <c r="B836" s="2" t="s">
        <v>31</v>
      </c>
      <c r="C836" s="2" t="s">
        <v>34</v>
      </c>
      <c r="D836" s="4">
        <v>120000</v>
      </c>
      <c r="E83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36">
        <v>4</v>
      </c>
      <c r="G836" s="2" t="s">
        <v>18</v>
      </c>
      <c r="H836" s="2" t="s">
        <v>27</v>
      </c>
      <c r="I836" t="s">
        <v>14</v>
      </c>
      <c r="J836">
        <v>3</v>
      </c>
      <c r="K836" t="s">
        <v>37</v>
      </c>
      <c r="L836" s="2" t="s">
        <v>16</v>
      </c>
      <c r="M836" s="4">
        <v>56</v>
      </c>
      <c r="N836" s="4" t="str">
        <f>IF(Bike_Data[[#This Row],[Age]]&gt;=54,"Old",IF(Bike_Data[[#This Row],[Age]]&lt;30,"Young Adult","Middle Age"))</f>
        <v>Old</v>
      </c>
      <c r="O836" s="5">
        <f t="shared" ca="1" si="13"/>
        <v>33307</v>
      </c>
      <c r="P836" s="2" t="s">
        <v>17</v>
      </c>
    </row>
    <row r="837" spans="1:16" x14ac:dyDescent="0.25">
      <c r="A837">
        <v>14193</v>
      </c>
      <c r="B837" s="2" t="s">
        <v>32</v>
      </c>
      <c r="C837" s="2" t="s">
        <v>33</v>
      </c>
      <c r="D837" s="4">
        <v>100000</v>
      </c>
      <c r="E83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7">
        <v>3</v>
      </c>
      <c r="G837" s="2" t="s">
        <v>18</v>
      </c>
      <c r="H837" s="2" t="s">
        <v>27</v>
      </c>
      <c r="I837" t="s">
        <v>14</v>
      </c>
      <c r="J837">
        <v>4</v>
      </c>
      <c r="K837" t="s">
        <v>37</v>
      </c>
      <c r="L837" s="2" t="s">
        <v>16</v>
      </c>
      <c r="M837" s="4">
        <v>56</v>
      </c>
      <c r="N837" s="4" t="str">
        <f>IF(Bike_Data[[#This Row],[Age]]&gt;=54,"Old",IF(Bike_Data[[#This Row],[Age]]&lt;30,"Young Adult","Middle Age"))</f>
        <v>Old</v>
      </c>
      <c r="O837" s="5">
        <f t="shared" ca="1" si="13"/>
        <v>30539</v>
      </c>
      <c r="P837" s="2" t="s">
        <v>17</v>
      </c>
    </row>
    <row r="838" spans="1:16" x14ac:dyDescent="0.25">
      <c r="A838">
        <v>20417</v>
      </c>
      <c r="B838" s="2" t="s">
        <v>31</v>
      </c>
      <c r="C838" s="2" t="s">
        <v>34</v>
      </c>
      <c r="D838" s="4">
        <v>30000</v>
      </c>
      <c r="E83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38">
        <v>3</v>
      </c>
      <c r="G838" s="2" t="s">
        <v>18</v>
      </c>
      <c r="H838" s="2" t="s">
        <v>19</v>
      </c>
      <c r="I838" t="s">
        <v>17</v>
      </c>
      <c r="J838">
        <v>2</v>
      </c>
      <c r="K838" t="s">
        <v>22</v>
      </c>
      <c r="L838" s="2" t="s">
        <v>23</v>
      </c>
      <c r="M838" s="4">
        <v>56</v>
      </c>
      <c r="N838" s="4" t="str">
        <f>IF(Bike_Data[[#This Row],[Age]]&gt;=54,"Old",IF(Bike_Data[[#This Row],[Age]]&lt;30,"Young Adult","Middle Age"))</f>
        <v>Old</v>
      </c>
      <c r="O838" s="5">
        <f t="shared" ca="1" si="13"/>
        <v>28798</v>
      </c>
      <c r="P838" s="2" t="s">
        <v>17</v>
      </c>
    </row>
    <row r="839" spans="1:16" x14ac:dyDescent="0.25">
      <c r="A839">
        <v>24981</v>
      </c>
      <c r="B839" s="2" t="s">
        <v>31</v>
      </c>
      <c r="C839" s="2" t="s">
        <v>34</v>
      </c>
      <c r="D839" s="4">
        <v>60000</v>
      </c>
      <c r="E83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39">
        <v>2</v>
      </c>
      <c r="G839" s="2" t="s">
        <v>18</v>
      </c>
      <c r="H839" s="2" t="s">
        <v>20</v>
      </c>
      <c r="I839" t="s">
        <v>14</v>
      </c>
      <c r="J839">
        <v>2</v>
      </c>
      <c r="K839" t="s">
        <v>37</v>
      </c>
      <c r="L839" s="2" t="s">
        <v>30</v>
      </c>
      <c r="M839" s="4">
        <v>56</v>
      </c>
      <c r="N839" s="4" t="str">
        <f>IF(Bike_Data[[#This Row],[Age]]&gt;=54,"Old",IF(Bike_Data[[#This Row],[Age]]&lt;30,"Young Adult","Middle Age"))</f>
        <v>Old</v>
      </c>
      <c r="O839" s="5">
        <f t="shared" ca="1" si="13"/>
        <v>28497</v>
      </c>
      <c r="P839" s="2" t="s">
        <v>17</v>
      </c>
    </row>
    <row r="840" spans="1:16" x14ac:dyDescent="0.25">
      <c r="A840">
        <v>13388</v>
      </c>
      <c r="B840" s="2" t="s">
        <v>32</v>
      </c>
      <c r="C840" s="2" t="s">
        <v>34</v>
      </c>
      <c r="D840" s="4">
        <v>60000</v>
      </c>
      <c r="E84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0">
        <v>2</v>
      </c>
      <c r="G840" s="2" t="s">
        <v>18</v>
      </c>
      <c r="H840" s="2" t="s">
        <v>20</v>
      </c>
      <c r="I840" t="s">
        <v>14</v>
      </c>
      <c r="J840">
        <v>1</v>
      </c>
      <c r="K840" t="s">
        <v>37</v>
      </c>
      <c r="L840" s="2" t="s">
        <v>30</v>
      </c>
      <c r="M840" s="4">
        <v>56</v>
      </c>
      <c r="N840" s="4" t="str">
        <f>IF(Bike_Data[[#This Row],[Age]]&gt;=54,"Old",IF(Bike_Data[[#This Row],[Age]]&lt;30,"Young Adult","Middle Age"))</f>
        <v>Old</v>
      </c>
      <c r="O840" s="5">
        <f t="shared" ca="1" si="13"/>
        <v>32508</v>
      </c>
      <c r="P840" s="2" t="s">
        <v>17</v>
      </c>
    </row>
    <row r="841" spans="1:16" x14ac:dyDescent="0.25">
      <c r="A841">
        <v>25886</v>
      </c>
      <c r="B841" s="2" t="s">
        <v>31</v>
      </c>
      <c r="C841" s="2" t="s">
        <v>33</v>
      </c>
      <c r="D841" s="4">
        <v>60000</v>
      </c>
      <c r="E84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1">
        <v>2</v>
      </c>
      <c r="G841" s="2" t="s">
        <v>18</v>
      </c>
      <c r="H841" s="2" t="s">
        <v>20</v>
      </c>
      <c r="I841" t="s">
        <v>14</v>
      </c>
      <c r="J841">
        <v>2</v>
      </c>
      <c r="K841" t="s">
        <v>21</v>
      </c>
      <c r="L841" s="2" t="s">
        <v>30</v>
      </c>
      <c r="M841" s="4">
        <v>56</v>
      </c>
      <c r="N841" s="4" t="str">
        <f>IF(Bike_Data[[#This Row],[Age]]&gt;=54,"Old",IF(Bike_Data[[#This Row],[Age]]&lt;30,"Young Adult","Middle Age"))</f>
        <v>Old</v>
      </c>
      <c r="O841" s="5">
        <f t="shared" ca="1" si="13"/>
        <v>29768</v>
      </c>
      <c r="P841" s="2" t="s">
        <v>14</v>
      </c>
    </row>
    <row r="842" spans="1:16" x14ac:dyDescent="0.25">
      <c r="A842">
        <v>20535</v>
      </c>
      <c r="B842" s="2" t="s">
        <v>31</v>
      </c>
      <c r="C842" s="2" t="s">
        <v>33</v>
      </c>
      <c r="D842" s="4">
        <v>70000</v>
      </c>
      <c r="E84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2">
        <v>4</v>
      </c>
      <c r="G842" s="2" t="s">
        <v>18</v>
      </c>
      <c r="H842" s="2" t="s">
        <v>20</v>
      </c>
      <c r="I842" t="s">
        <v>14</v>
      </c>
      <c r="J842">
        <v>1</v>
      </c>
      <c r="K842" t="s">
        <v>37</v>
      </c>
      <c r="L842" s="2" t="s">
        <v>30</v>
      </c>
      <c r="M842" s="4">
        <v>56</v>
      </c>
      <c r="N842" s="4" t="str">
        <f>IF(Bike_Data[[#This Row],[Age]]&gt;=54,"Old",IF(Bike_Data[[#This Row],[Age]]&lt;30,"Young Adult","Middle Age"))</f>
        <v>Old</v>
      </c>
      <c r="O842" s="5">
        <f t="shared" ca="1" si="13"/>
        <v>35174</v>
      </c>
      <c r="P842" s="2" t="s">
        <v>17</v>
      </c>
    </row>
    <row r="843" spans="1:16" x14ac:dyDescent="0.25">
      <c r="A843">
        <v>28043</v>
      </c>
      <c r="B843" s="2" t="s">
        <v>31</v>
      </c>
      <c r="C843" s="2" t="s">
        <v>33</v>
      </c>
      <c r="D843" s="4">
        <v>60000</v>
      </c>
      <c r="E84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3">
        <v>2</v>
      </c>
      <c r="G843" s="2" t="s">
        <v>12</v>
      </c>
      <c r="H843" s="2" t="s">
        <v>27</v>
      </c>
      <c r="I843" t="s">
        <v>14</v>
      </c>
      <c r="J843">
        <v>0</v>
      </c>
      <c r="K843" t="s">
        <v>37</v>
      </c>
      <c r="L843" s="2" t="s">
        <v>30</v>
      </c>
      <c r="M843" s="4">
        <v>56</v>
      </c>
      <c r="N843" s="4" t="str">
        <f>IF(Bike_Data[[#This Row],[Age]]&gt;=54,"Old",IF(Bike_Data[[#This Row],[Age]]&lt;30,"Young Adult","Middle Age"))</f>
        <v>Old</v>
      </c>
      <c r="O843" s="5">
        <f t="shared" ca="1" si="13"/>
        <v>35912</v>
      </c>
      <c r="P843" s="2" t="s">
        <v>17</v>
      </c>
    </row>
    <row r="844" spans="1:16" x14ac:dyDescent="0.25">
      <c r="A844">
        <v>13390</v>
      </c>
      <c r="B844" s="2" t="s">
        <v>31</v>
      </c>
      <c r="C844" s="2" t="s">
        <v>33</v>
      </c>
      <c r="D844" s="4">
        <v>70000</v>
      </c>
      <c r="E84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4">
        <v>4</v>
      </c>
      <c r="G844" s="2" t="s">
        <v>18</v>
      </c>
      <c r="H844" s="2" t="s">
        <v>20</v>
      </c>
      <c r="I844" t="s">
        <v>17</v>
      </c>
      <c r="J844">
        <v>1</v>
      </c>
      <c r="K844" t="s">
        <v>25</v>
      </c>
      <c r="L844" s="2" t="s">
        <v>30</v>
      </c>
      <c r="M844" s="4">
        <v>56</v>
      </c>
      <c r="N844" s="4" t="str">
        <f>IF(Bike_Data[[#This Row],[Age]]&gt;=54,"Old",IF(Bike_Data[[#This Row],[Age]]&lt;30,"Young Adult","Middle Age"))</f>
        <v>Old</v>
      </c>
      <c r="O844" s="5">
        <f t="shared" ca="1" si="13"/>
        <v>26307</v>
      </c>
      <c r="P844" s="2" t="s">
        <v>17</v>
      </c>
    </row>
    <row r="845" spans="1:16" x14ac:dyDescent="0.25">
      <c r="A845">
        <v>27434</v>
      </c>
      <c r="B845" s="2" t="s">
        <v>32</v>
      </c>
      <c r="C845" s="2" t="s">
        <v>34</v>
      </c>
      <c r="D845" s="4">
        <v>70000</v>
      </c>
      <c r="E84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5">
        <v>4</v>
      </c>
      <c r="G845" s="2" t="s">
        <v>18</v>
      </c>
      <c r="H845" s="2" t="s">
        <v>20</v>
      </c>
      <c r="I845" t="s">
        <v>14</v>
      </c>
      <c r="J845">
        <v>1</v>
      </c>
      <c r="K845" t="s">
        <v>37</v>
      </c>
      <c r="L845" s="2" t="s">
        <v>30</v>
      </c>
      <c r="M845" s="4">
        <v>56</v>
      </c>
      <c r="N845" s="4" t="str">
        <f>IF(Bike_Data[[#This Row],[Age]]&gt;=54,"Old",IF(Bike_Data[[#This Row],[Age]]&lt;30,"Young Adult","Middle Age"))</f>
        <v>Old</v>
      </c>
      <c r="O845" s="5">
        <f t="shared" ca="1" si="13"/>
        <v>30367</v>
      </c>
      <c r="P845" s="2" t="s">
        <v>17</v>
      </c>
    </row>
    <row r="846" spans="1:16" x14ac:dyDescent="0.25">
      <c r="A846">
        <v>19012</v>
      </c>
      <c r="B846" s="2" t="s">
        <v>31</v>
      </c>
      <c r="C846" s="2" t="s">
        <v>34</v>
      </c>
      <c r="D846" s="4">
        <v>80000</v>
      </c>
      <c r="E84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6">
        <v>3</v>
      </c>
      <c r="G846" s="2" t="s">
        <v>12</v>
      </c>
      <c r="H846" s="2" t="s">
        <v>27</v>
      </c>
      <c r="I846" t="s">
        <v>14</v>
      </c>
      <c r="J846">
        <v>1</v>
      </c>
      <c r="K846" t="s">
        <v>25</v>
      </c>
      <c r="L846" s="2" t="s">
        <v>30</v>
      </c>
      <c r="M846" s="4">
        <v>56</v>
      </c>
      <c r="N846" s="4" t="str">
        <f>IF(Bike_Data[[#This Row],[Age]]&gt;=54,"Old",IF(Bike_Data[[#This Row],[Age]]&lt;30,"Young Adult","Middle Age"))</f>
        <v>Old</v>
      </c>
      <c r="O846" s="5">
        <f t="shared" ca="1" si="13"/>
        <v>31109</v>
      </c>
      <c r="P846" s="2" t="s">
        <v>17</v>
      </c>
    </row>
    <row r="847" spans="1:16" x14ac:dyDescent="0.25">
      <c r="A847">
        <v>28915</v>
      </c>
      <c r="B847" s="2" t="s">
        <v>32</v>
      </c>
      <c r="C847" s="2" t="s">
        <v>34</v>
      </c>
      <c r="D847" s="4">
        <v>80000</v>
      </c>
      <c r="E84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7">
        <v>5</v>
      </c>
      <c r="G847" s="2" t="s">
        <v>26</v>
      </c>
      <c r="H847" s="2" t="s">
        <v>27</v>
      </c>
      <c r="I847" t="s">
        <v>14</v>
      </c>
      <c r="J847">
        <v>3</v>
      </c>
      <c r="K847" t="s">
        <v>37</v>
      </c>
      <c r="L847" s="2" t="s">
        <v>16</v>
      </c>
      <c r="M847" s="4">
        <v>57</v>
      </c>
      <c r="N847" s="4" t="str">
        <f>IF(Bike_Data[[#This Row],[Age]]&gt;=54,"Old",IF(Bike_Data[[#This Row],[Age]]&lt;30,"Young Adult","Middle Age"))</f>
        <v>Old</v>
      </c>
      <c r="O847" s="5">
        <f t="shared" ca="1" si="13"/>
        <v>37712</v>
      </c>
      <c r="P847" s="2" t="s">
        <v>17</v>
      </c>
    </row>
    <row r="848" spans="1:16" x14ac:dyDescent="0.25">
      <c r="A848">
        <v>21375</v>
      </c>
      <c r="B848" s="2" t="s">
        <v>32</v>
      </c>
      <c r="C848" s="2" t="s">
        <v>34</v>
      </c>
      <c r="D848" s="4">
        <v>20000</v>
      </c>
      <c r="E84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48">
        <v>2</v>
      </c>
      <c r="G848" s="2" t="s">
        <v>28</v>
      </c>
      <c r="H848" s="2" t="s">
        <v>19</v>
      </c>
      <c r="I848" t="s">
        <v>14</v>
      </c>
      <c r="J848">
        <v>2</v>
      </c>
      <c r="K848" t="s">
        <v>22</v>
      </c>
      <c r="L848" s="2" t="s">
        <v>23</v>
      </c>
      <c r="M848" s="4">
        <v>57</v>
      </c>
      <c r="N848" s="4" t="str">
        <f>IF(Bike_Data[[#This Row],[Age]]&gt;=54,"Old",IF(Bike_Data[[#This Row],[Age]]&lt;30,"Young Adult","Middle Age"))</f>
        <v>Old</v>
      </c>
      <c r="O848" s="5">
        <f t="shared" ca="1" si="13"/>
        <v>29422</v>
      </c>
      <c r="P848" s="2" t="s">
        <v>17</v>
      </c>
    </row>
    <row r="849" spans="1:16" x14ac:dyDescent="0.25">
      <c r="A849">
        <v>13233</v>
      </c>
      <c r="B849" s="2" t="s">
        <v>31</v>
      </c>
      <c r="C849" s="2" t="s">
        <v>34</v>
      </c>
      <c r="D849" s="4">
        <v>60000</v>
      </c>
      <c r="E84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49">
        <v>2</v>
      </c>
      <c r="G849" s="2" t="s">
        <v>18</v>
      </c>
      <c r="H849" s="2" t="s">
        <v>20</v>
      </c>
      <c r="I849" t="s">
        <v>14</v>
      </c>
      <c r="J849">
        <v>1</v>
      </c>
      <c r="K849" t="s">
        <v>37</v>
      </c>
      <c r="L849" s="2" t="s">
        <v>30</v>
      </c>
      <c r="M849" s="4">
        <v>57</v>
      </c>
      <c r="N849" s="4" t="str">
        <f>IF(Bike_Data[[#This Row],[Age]]&gt;=54,"Old",IF(Bike_Data[[#This Row],[Age]]&lt;30,"Young Adult","Middle Age"))</f>
        <v>Old</v>
      </c>
      <c r="O849" s="5">
        <f t="shared" ca="1" si="13"/>
        <v>28716</v>
      </c>
      <c r="P849" s="2" t="s">
        <v>14</v>
      </c>
    </row>
    <row r="850" spans="1:16" x14ac:dyDescent="0.25">
      <c r="A850">
        <v>12100</v>
      </c>
      <c r="B850" s="2" t="s">
        <v>32</v>
      </c>
      <c r="C850" s="2" t="s">
        <v>34</v>
      </c>
      <c r="D850" s="4">
        <v>60000</v>
      </c>
      <c r="E85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50">
        <v>2</v>
      </c>
      <c r="G850" s="2" t="s">
        <v>12</v>
      </c>
      <c r="H850" s="2" t="s">
        <v>27</v>
      </c>
      <c r="I850" t="s">
        <v>14</v>
      </c>
      <c r="J850">
        <v>0</v>
      </c>
      <c r="K850" t="s">
        <v>37</v>
      </c>
      <c r="L850" s="2" t="s">
        <v>30</v>
      </c>
      <c r="M850" s="4">
        <v>57</v>
      </c>
      <c r="N850" s="4" t="str">
        <f>IF(Bike_Data[[#This Row],[Age]]&gt;=54,"Old",IF(Bike_Data[[#This Row],[Age]]&lt;30,"Young Adult","Middle Age"))</f>
        <v>Old</v>
      </c>
      <c r="O850" s="5">
        <f t="shared" ca="1" si="13"/>
        <v>29864</v>
      </c>
      <c r="P850" s="2" t="s">
        <v>17</v>
      </c>
    </row>
    <row r="851" spans="1:16" x14ac:dyDescent="0.25">
      <c r="A851">
        <v>19002</v>
      </c>
      <c r="B851" s="2" t="s">
        <v>31</v>
      </c>
      <c r="C851" s="2" t="s">
        <v>33</v>
      </c>
      <c r="D851" s="4">
        <v>60000</v>
      </c>
      <c r="E85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51">
        <v>2</v>
      </c>
      <c r="G851" s="2" t="s">
        <v>18</v>
      </c>
      <c r="H851" s="2" t="s">
        <v>20</v>
      </c>
      <c r="I851" t="s">
        <v>14</v>
      </c>
      <c r="J851">
        <v>1</v>
      </c>
      <c r="K851" t="s">
        <v>21</v>
      </c>
      <c r="L851" s="2" t="s">
        <v>30</v>
      </c>
      <c r="M851" s="4">
        <v>57</v>
      </c>
      <c r="N851" s="4" t="str">
        <f>IF(Bike_Data[[#This Row],[Age]]&gt;=54,"Old",IF(Bike_Data[[#This Row],[Age]]&lt;30,"Young Adult","Middle Age"))</f>
        <v>Old</v>
      </c>
      <c r="O851" s="5">
        <f t="shared" ca="1" si="13"/>
        <v>27893</v>
      </c>
      <c r="P851" s="2" t="s">
        <v>14</v>
      </c>
    </row>
    <row r="852" spans="1:16" x14ac:dyDescent="0.25">
      <c r="A852">
        <v>24979</v>
      </c>
      <c r="B852" s="2" t="s">
        <v>31</v>
      </c>
      <c r="C852" s="2" t="s">
        <v>33</v>
      </c>
      <c r="D852" s="4">
        <v>60000</v>
      </c>
      <c r="E85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52">
        <v>2</v>
      </c>
      <c r="G852" s="2" t="s">
        <v>18</v>
      </c>
      <c r="H852" s="2" t="s">
        <v>20</v>
      </c>
      <c r="I852" t="s">
        <v>14</v>
      </c>
      <c r="J852">
        <v>2</v>
      </c>
      <c r="K852" t="s">
        <v>21</v>
      </c>
      <c r="L852" s="2" t="s">
        <v>30</v>
      </c>
      <c r="M852" s="4">
        <v>57</v>
      </c>
      <c r="N852" s="4" t="str">
        <f>IF(Bike_Data[[#This Row],[Age]]&gt;=54,"Old",IF(Bike_Data[[#This Row],[Age]]&lt;30,"Young Adult","Middle Age"))</f>
        <v>Old</v>
      </c>
      <c r="O852" s="5">
        <f t="shared" ca="1" si="13"/>
        <v>31206</v>
      </c>
      <c r="P852" s="2" t="s">
        <v>14</v>
      </c>
    </row>
    <row r="853" spans="1:16" x14ac:dyDescent="0.25">
      <c r="A853">
        <v>13382</v>
      </c>
      <c r="B853" s="2" t="s">
        <v>31</v>
      </c>
      <c r="C853" s="2" t="s">
        <v>34</v>
      </c>
      <c r="D853" s="4">
        <v>70000</v>
      </c>
      <c r="E85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53">
        <v>5</v>
      </c>
      <c r="G853" s="2" t="s">
        <v>18</v>
      </c>
      <c r="H853" s="2" t="s">
        <v>20</v>
      </c>
      <c r="I853" t="s">
        <v>14</v>
      </c>
      <c r="J853">
        <v>2</v>
      </c>
      <c r="K853" t="s">
        <v>25</v>
      </c>
      <c r="L853" s="2" t="s">
        <v>30</v>
      </c>
      <c r="M853" s="4">
        <v>57</v>
      </c>
      <c r="N853" s="4" t="str">
        <f>IF(Bike_Data[[#This Row],[Age]]&gt;=54,"Old",IF(Bike_Data[[#This Row],[Age]]&lt;30,"Young Adult","Middle Age"))</f>
        <v>Old</v>
      </c>
      <c r="O853" s="5">
        <f t="shared" ca="1" si="13"/>
        <v>31099</v>
      </c>
      <c r="P853" s="2" t="s">
        <v>14</v>
      </c>
    </row>
    <row r="854" spans="1:16" x14ac:dyDescent="0.25">
      <c r="A854">
        <v>26495</v>
      </c>
      <c r="B854" s="2" t="s">
        <v>32</v>
      </c>
      <c r="C854" s="2" t="s">
        <v>33</v>
      </c>
      <c r="D854" s="4">
        <v>40000</v>
      </c>
      <c r="E85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54">
        <v>2</v>
      </c>
      <c r="G854" s="2" t="s">
        <v>26</v>
      </c>
      <c r="H854" s="2" t="s">
        <v>20</v>
      </c>
      <c r="I854" t="s">
        <v>14</v>
      </c>
      <c r="J854">
        <v>2</v>
      </c>
      <c r="K854" t="s">
        <v>37</v>
      </c>
      <c r="L854" s="2" t="s">
        <v>30</v>
      </c>
      <c r="M854" s="4">
        <v>57</v>
      </c>
      <c r="N854" s="4" t="str">
        <f>IF(Bike_Data[[#This Row],[Age]]&gt;=54,"Old",IF(Bike_Data[[#This Row],[Age]]&lt;30,"Young Adult","Middle Age"))</f>
        <v>Old</v>
      </c>
      <c r="O854" s="5">
        <f t="shared" ca="1" si="13"/>
        <v>34886</v>
      </c>
      <c r="P854" s="2" t="s">
        <v>17</v>
      </c>
    </row>
    <row r="855" spans="1:16" x14ac:dyDescent="0.25">
      <c r="A855">
        <v>22155</v>
      </c>
      <c r="B855" s="2" t="s">
        <v>31</v>
      </c>
      <c r="C855" s="2" t="s">
        <v>34</v>
      </c>
      <c r="D855" s="4">
        <v>20000</v>
      </c>
      <c r="E8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55">
        <v>2</v>
      </c>
      <c r="G855" s="2" t="s">
        <v>28</v>
      </c>
      <c r="H855" s="2" t="s">
        <v>19</v>
      </c>
      <c r="I855" t="s">
        <v>14</v>
      </c>
      <c r="J855">
        <v>2</v>
      </c>
      <c r="K855" t="s">
        <v>22</v>
      </c>
      <c r="L855" s="2" t="s">
        <v>23</v>
      </c>
      <c r="M855" s="4">
        <v>58</v>
      </c>
      <c r="N855" s="4" t="str">
        <f>IF(Bike_Data[[#This Row],[Age]]&gt;=54,"Old",IF(Bike_Data[[#This Row],[Age]]&lt;30,"Young Adult","Middle Age"))</f>
        <v>Old</v>
      </c>
      <c r="O855" s="5">
        <f t="shared" ca="1" si="13"/>
        <v>29269</v>
      </c>
      <c r="P855" s="2" t="s">
        <v>17</v>
      </c>
    </row>
    <row r="856" spans="1:16" x14ac:dyDescent="0.25">
      <c r="A856">
        <v>28918</v>
      </c>
      <c r="B856" s="2" t="s">
        <v>31</v>
      </c>
      <c r="C856" s="2" t="s">
        <v>33</v>
      </c>
      <c r="D856" s="4">
        <v>130000</v>
      </c>
      <c r="E856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56">
        <v>4</v>
      </c>
      <c r="G856" s="2" t="s">
        <v>26</v>
      </c>
      <c r="H856" s="2" t="s">
        <v>27</v>
      </c>
      <c r="I856" t="s">
        <v>17</v>
      </c>
      <c r="J856">
        <v>4</v>
      </c>
      <c r="K856" t="s">
        <v>37</v>
      </c>
      <c r="L856" s="2" t="s">
        <v>16</v>
      </c>
      <c r="M856" s="4">
        <v>58</v>
      </c>
      <c r="N856" s="4" t="str">
        <f>IF(Bike_Data[[#This Row],[Age]]&gt;=54,"Old",IF(Bike_Data[[#This Row],[Age]]&lt;30,"Young Adult","Middle Age"))</f>
        <v>Old</v>
      </c>
      <c r="O856" s="5">
        <f t="shared" ca="1" si="13"/>
        <v>37144</v>
      </c>
      <c r="P856" s="2" t="s">
        <v>17</v>
      </c>
    </row>
    <row r="857" spans="1:16" x14ac:dyDescent="0.25">
      <c r="A857">
        <v>25923</v>
      </c>
      <c r="B857" s="2" t="s">
        <v>32</v>
      </c>
      <c r="C857" s="2" t="s">
        <v>34</v>
      </c>
      <c r="D857" s="4">
        <v>10000</v>
      </c>
      <c r="E85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57">
        <v>2</v>
      </c>
      <c r="G857" s="2" t="s">
        <v>28</v>
      </c>
      <c r="H857" s="2" t="s">
        <v>19</v>
      </c>
      <c r="I857" t="s">
        <v>14</v>
      </c>
      <c r="J857">
        <v>2</v>
      </c>
      <c r="K857" t="s">
        <v>22</v>
      </c>
      <c r="L857" s="2" t="s">
        <v>23</v>
      </c>
      <c r="M857" s="4">
        <v>58</v>
      </c>
      <c r="N857" s="4" t="str">
        <f>IF(Bike_Data[[#This Row],[Age]]&gt;=54,"Old",IF(Bike_Data[[#This Row],[Age]]&lt;30,"Young Adult","Middle Age"))</f>
        <v>Old</v>
      </c>
      <c r="O857" s="5">
        <f t="shared" ca="1" si="13"/>
        <v>30659</v>
      </c>
      <c r="P857" s="2" t="s">
        <v>17</v>
      </c>
    </row>
    <row r="858" spans="1:16" x14ac:dyDescent="0.25">
      <c r="A858">
        <v>28102</v>
      </c>
      <c r="B858" s="2" t="s">
        <v>31</v>
      </c>
      <c r="C858" s="2" t="s">
        <v>34</v>
      </c>
      <c r="D858" s="4">
        <v>20000</v>
      </c>
      <c r="E85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58">
        <v>4</v>
      </c>
      <c r="G858" s="2" t="s">
        <v>26</v>
      </c>
      <c r="H858" s="2" t="s">
        <v>13</v>
      </c>
      <c r="I858" t="s">
        <v>14</v>
      </c>
      <c r="J858">
        <v>2</v>
      </c>
      <c r="K858" t="s">
        <v>22</v>
      </c>
      <c r="L858" s="2" t="s">
        <v>23</v>
      </c>
      <c r="M858" s="4">
        <v>58</v>
      </c>
      <c r="N858" s="4" t="str">
        <f>IF(Bike_Data[[#This Row],[Age]]&gt;=54,"Old",IF(Bike_Data[[#This Row],[Age]]&lt;30,"Young Adult","Middle Age"))</f>
        <v>Old</v>
      </c>
      <c r="O858" s="5">
        <f t="shared" ca="1" si="13"/>
        <v>34191</v>
      </c>
      <c r="P858" s="2" t="s">
        <v>14</v>
      </c>
    </row>
    <row r="859" spans="1:16" x14ac:dyDescent="0.25">
      <c r="A859">
        <v>12332</v>
      </c>
      <c r="B859" s="2" t="s">
        <v>31</v>
      </c>
      <c r="C859" s="2" t="s">
        <v>34</v>
      </c>
      <c r="D859" s="4">
        <v>90000</v>
      </c>
      <c r="E85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59">
        <v>4</v>
      </c>
      <c r="G859" s="2" t="s">
        <v>26</v>
      </c>
      <c r="H859" s="2" t="s">
        <v>27</v>
      </c>
      <c r="I859" t="s">
        <v>14</v>
      </c>
      <c r="J859">
        <v>3</v>
      </c>
      <c r="K859" t="s">
        <v>22</v>
      </c>
      <c r="L859" s="2" t="s">
        <v>16</v>
      </c>
      <c r="M859" s="4">
        <v>58</v>
      </c>
      <c r="N859" s="4" t="str">
        <f>IF(Bike_Data[[#This Row],[Age]]&gt;=54,"Old",IF(Bike_Data[[#This Row],[Age]]&lt;30,"Young Adult","Middle Age"))</f>
        <v>Old</v>
      </c>
      <c r="O859" s="5">
        <f t="shared" ca="1" si="13"/>
        <v>29043</v>
      </c>
      <c r="P859" s="2" t="s">
        <v>14</v>
      </c>
    </row>
    <row r="860" spans="1:16" x14ac:dyDescent="0.25">
      <c r="A860">
        <v>21365</v>
      </c>
      <c r="B860" s="2" t="s">
        <v>31</v>
      </c>
      <c r="C860" s="2" t="s">
        <v>33</v>
      </c>
      <c r="D860" s="4">
        <v>10000</v>
      </c>
      <c r="E86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60">
        <v>2</v>
      </c>
      <c r="G860" s="2" t="s">
        <v>28</v>
      </c>
      <c r="H860" s="2" t="s">
        <v>19</v>
      </c>
      <c r="I860" t="s">
        <v>14</v>
      </c>
      <c r="J860">
        <v>2</v>
      </c>
      <c r="K860" t="s">
        <v>22</v>
      </c>
      <c r="L860" s="2" t="s">
        <v>23</v>
      </c>
      <c r="M860" s="4">
        <v>58</v>
      </c>
      <c r="N860" s="4" t="str">
        <f>IF(Bike_Data[[#This Row],[Age]]&gt;=54,"Old",IF(Bike_Data[[#This Row],[Age]]&lt;30,"Young Adult","Middle Age"))</f>
        <v>Old</v>
      </c>
      <c r="O860" s="5">
        <f t="shared" ca="1" si="13"/>
        <v>33339</v>
      </c>
      <c r="P860" s="2" t="s">
        <v>17</v>
      </c>
    </row>
    <row r="861" spans="1:16" x14ac:dyDescent="0.25">
      <c r="A861">
        <v>26415</v>
      </c>
      <c r="B861" s="2" t="s">
        <v>31</v>
      </c>
      <c r="C861" s="2" t="s">
        <v>33</v>
      </c>
      <c r="D861" s="4">
        <v>90000</v>
      </c>
      <c r="E86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61">
        <v>4</v>
      </c>
      <c r="G861" s="2" t="s">
        <v>28</v>
      </c>
      <c r="H861" s="2" t="s">
        <v>13</v>
      </c>
      <c r="I861" t="s">
        <v>14</v>
      </c>
      <c r="J861">
        <v>4</v>
      </c>
      <c r="K861" t="s">
        <v>37</v>
      </c>
      <c r="L861" s="2" t="s">
        <v>16</v>
      </c>
      <c r="M861" s="4">
        <v>58</v>
      </c>
      <c r="N861" s="4" t="str">
        <f>IF(Bike_Data[[#This Row],[Age]]&gt;=54,"Old",IF(Bike_Data[[#This Row],[Age]]&lt;30,"Young Adult","Middle Age"))</f>
        <v>Old</v>
      </c>
      <c r="O861" s="5">
        <f t="shared" ca="1" si="13"/>
        <v>35485</v>
      </c>
      <c r="P861" s="2" t="s">
        <v>17</v>
      </c>
    </row>
    <row r="862" spans="1:16" x14ac:dyDescent="0.25">
      <c r="A862">
        <v>15895</v>
      </c>
      <c r="B862" s="2" t="s">
        <v>32</v>
      </c>
      <c r="C862" s="2" t="s">
        <v>33</v>
      </c>
      <c r="D862" s="4">
        <v>60000</v>
      </c>
      <c r="E86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62">
        <v>2</v>
      </c>
      <c r="G862" s="2" t="s">
        <v>12</v>
      </c>
      <c r="H862" s="2" t="s">
        <v>27</v>
      </c>
      <c r="I862" t="s">
        <v>14</v>
      </c>
      <c r="J862">
        <v>0</v>
      </c>
      <c r="K862" t="s">
        <v>37</v>
      </c>
      <c r="L862" s="2" t="s">
        <v>30</v>
      </c>
      <c r="M862" s="4">
        <v>58</v>
      </c>
      <c r="N862" s="4" t="str">
        <f>IF(Bike_Data[[#This Row],[Age]]&gt;=54,"Old",IF(Bike_Data[[#This Row],[Age]]&lt;30,"Young Adult","Middle Age"))</f>
        <v>Old</v>
      </c>
      <c r="O862" s="5">
        <f t="shared" ca="1" si="13"/>
        <v>33081</v>
      </c>
      <c r="P862" s="2" t="s">
        <v>17</v>
      </c>
    </row>
    <row r="863" spans="1:16" x14ac:dyDescent="0.25">
      <c r="A863">
        <v>28997</v>
      </c>
      <c r="B863" s="2" t="s">
        <v>32</v>
      </c>
      <c r="C863" s="2" t="s">
        <v>34</v>
      </c>
      <c r="D863" s="4">
        <v>40000</v>
      </c>
      <c r="E86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63">
        <v>2</v>
      </c>
      <c r="G863" s="2" t="s">
        <v>26</v>
      </c>
      <c r="H863" s="2" t="s">
        <v>20</v>
      </c>
      <c r="I863" t="s">
        <v>17</v>
      </c>
      <c r="J863">
        <v>1</v>
      </c>
      <c r="K863" t="s">
        <v>21</v>
      </c>
      <c r="L863" s="2" t="s">
        <v>30</v>
      </c>
      <c r="M863" s="4">
        <v>58</v>
      </c>
      <c r="N863" s="4" t="str">
        <f>IF(Bike_Data[[#This Row],[Age]]&gt;=54,"Old",IF(Bike_Data[[#This Row],[Age]]&lt;30,"Young Adult","Middle Age"))</f>
        <v>Old</v>
      </c>
      <c r="O863" s="5">
        <f t="shared" ca="1" si="13"/>
        <v>32753</v>
      </c>
      <c r="P863" s="2" t="s">
        <v>14</v>
      </c>
    </row>
    <row r="864" spans="1:16" x14ac:dyDescent="0.25">
      <c r="A864">
        <v>11200</v>
      </c>
      <c r="B864" s="2" t="s">
        <v>31</v>
      </c>
      <c r="C864" s="2" t="s">
        <v>34</v>
      </c>
      <c r="D864" s="4">
        <v>70000</v>
      </c>
      <c r="E8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64">
        <v>4</v>
      </c>
      <c r="G864" s="2" t="s">
        <v>12</v>
      </c>
      <c r="H864" s="2" t="s">
        <v>27</v>
      </c>
      <c r="I864" t="s">
        <v>14</v>
      </c>
      <c r="J864">
        <v>1</v>
      </c>
      <c r="K864" t="s">
        <v>25</v>
      </c>
      <c r="L864" s="2" t="s">
        <v>30</v>
      </c>
      <c r="M864" s="4">
        <v>58</v>
      </c>
      <c r="N864" s="4" t="str">
        <f>IF(Bike_Data[[#This Row],[Age]]&gt;=54,"Old",IF(Bike_Data[[#This Row],[Age]]&lt;30,"Young Adult","Middle Age"))</f>
        <v>Old</v>
      </c>
      <c r="O864" s="5">
        <f t="shared" ca="1" si="13"/>
        <v>28312</v>
      </c>
      <c r="P864" s="2" t="s">
        <v>17</v>
      </c>
    </row>
    <row r="865" spans="1:16" x14ac:dyDescent="0.25">
      <c r="A865">
        <v>25872</v>
      </c>
      <c r="B865" s="2" t="s">
        <v>32</v>
      </c>
      <c r="C865" s="2" t="s">
        <v>33</v>
      </c>
      <c r="D865" s="4">
        <v>70000</v>
      </c>
      <c r="E86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65">
        <v>2</v>
      </c>
      <c r="G865" s="2" t="s">
        <v>12</v>
      </c>
      <c r="H865" s="2" t="s">
        <v>27</v>
      </c>
      <c r="I865" t="s">
        <v>17</v>
      </c>
      <c r="J865">
        <v>1</v>
      </c>
      <c r="K865" t="s">
        <v>21</v>
      </c>
      <c r="L865" s="2" t="s">
        <v>30</v>
      </c>
      <c r="M865" s="4">
        <v>58</v>
      </c>
      <c r="N865" s="4" t="str">
        <f>IF(Bike_Data[[#This Row],[Age]]&gt;=54,"Old",IF(Bike_Data[[#This Row],[Age]]&lt;30,"Young Adult","Middle Age"))</f>
        <v>Old</v>
      </c>
      <c r="O865" s="5">
        <f t="shared" ca="1" si="13"/>
        <v>33278</v>
      </c>
      <c r="P865" s="2" t="s">
        <v>14</v>
      </c>
    </row>
    <row r="866" spans="1:16" x14ac:dyDescent="0.25">
      <c r="A866">
        <v>20518</v>
      </c>
      <c r="B866" s="2" t="s">
        <v>31</v>
      </c>
      <c r="C866" s="2" t="s">
        <v>33</v>
      </c>
      <c r="D866" s="4">
        <v>70000</v>
      </c>
      <c r="E86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66">
        <v>2</v>
      </c>
      <c r="G866" s="2" t="s">
        <v>18</v>
      </c>
      <c r="H866" s="2" t="s">
        <v>20</v>
      </c>
      <c r="I866" t="s">
        <v>14</v>
      </c>
      <c r="J866">
        <v>1</v>
      </c>
      <c r="K866" t="s">
        <v>37</v>
      </c>
      <c r="L866" s="2" t="s">
        <v>30</v>
      </c>
      <c r="M866" s="4">
        <v>58</v>
      </c>
      <c r="N866" s="4" t="str">
        <f>IF(Bike_Data[[#This Row],[Age]]&gt;=54,"Old",IF(Bike_Data[[#This Row],[Age]]&lt;30,"Young Adult","Middle Age"))</f>
        <v>Old</v>
      </c>
      <c r="O866" s="5">
        <f t="shared" ca="1" si="13"/>
        <v>36169</v>
      </c>
      <c r="P866" s="2" t="s">
        <v>17</v>
      </c>
    </row>
    <row r="867" spans="1:16" x14ac:dyDescent="0.25">
      <c r="A867">
        <v>23316</v>
      </c>
      <c r="B867" s="2" t="s">
        <v>32</v>
      </c>
      <c r="C867" s="2" t="s">
        <v>34</v>
      </c>
      <c r="D867" s="4">
        <v>30000</v>
      </c>
      <c r="E8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67">
        <v>3</v>
      </c>
      <c r="G867" s="2" t="s">
        <v>18</v>
      </c>
      <c r="H867" s="2" t="s">
        <v>19</v>
      </c>
      <c r="I867" t="s">
        <v>17</v>
      </c>
      <c r="J867">
        <v>2</v>
      </c>
      <c r="K867" t="s">
        <v>25</v>
      </c>
      <c r="L867" s="2" t="s">
        <v>23</v>
      </c>
      <c r="M867" s="4">
        <v>59</v>
      </c>
      <c r="N867" s="4" t="str">
        <f>IF(Bike_Data[[#This Row],[Age]]&gt;=54,"Old",IF(Bike_Data[[#This Row],[Age]]&lt;30,"Young Adult","Middle Age"))</f>
        <v>Old</v>
      </c>
      <c r="O867" s="5">
        <f t="shared" ca="1" si="13"/>
        <v>26548</v>
      </c>
      <c r="P867" s="2" t="s">
        <v>14</v>
      </c>
    </row>
    <row r="868" spans="1:16" x14ac:dyDescent="0.25">
      <c r="A868">
        <v>12664</v>
      </c>
      <c r="B868" s="2" t="s">
        <v>31</v>
      </c>
      <c r="C868" s="2" t="s">
        <v>33</v>
      </c>
      <c r="D868" s="4">
        <v>130000</v>
      </c>
      <c r="E868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868">
        <v>5</v>
      </c>
      <c r="G868" s="2" t="s">
        <v>18</v>
      </c>
      <c r="H868" s="2" t="s">
        <v>20</v>
      </c>
      <c r="I868" t="s">
        <v>14</v>
      </c>
      <c r="J868">
        <v>4</v>
      </c>
      <c r="K868" t="s">
        <v>15</v>
      </c>
      <c r="L868" s="2" t="s">
        <v>16</v>
      </c>
      <c r="M868" s="4">
        <v>59</v>
      </c>
      <c r="N868" s="4" t="str">
        <f>IF(Bike_Data[[#This Row],[Age]]&gt;=54,"Old",IF(Bike_Data[[#This Row],[Age]]&lt;30,"Young Adult","Middle Age"))</f>
        <v>Old</v>
      </c>
      <c r="O868" s="5">
        <f t="shared" ca="1" si="13"/>
        <v>27983</v>
      </c>
      <c r="P868" s="2" t="s">
        <v>17</v>
      </c>
    </row>
    <row r="869" spans="1:16" x14ac:dyDescent="0.25">
      <c r="A869">
        <v>18151</v>
      </c>
      <c r="B869" s="2" t="s">
        <v>32</v>
      </c>
      <c r="C869" s="2" t="s">
        <v>34</v>
      </c>
      <c r="D869" s="4">
        <v>80000</v>
      </c>
      <c r="E86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69">
        <v>5</v>
      </c>
      <c r="G869" s="2" t="s">
        <v>18</v>
      </c>
      <c r="H869" s="2" t="s">
        <v>20</v>
      </c>
      <c r="I869" t="s">
        <v>17</v>
      </c>
      <c r="J869">
        <v>2</v>
      </c>
      <c r="K869" t="s">
        <v>37</v>
      </c>
      <c r="L869" s="2" t="s">
        <v>16</v>
      </c>
      <c r="M869" s="4">
        <v>59</v>
      </c>
      <c r="N869" s="4" t="str">
        <f>IF(Bike_Data[[#This Row],[Age]]&gt;=54,"Old",IF(Bike_Data[[#This Row],[Age]]&lt;30,"Young Adult","Middle Age"))</f>
        <v>Old</v>
      </c>
      <c r="O869" s="5">
        <f t="shared" ca="1" si="13"/>
        <v>37634</v>
      </c>
      <c r="P869" s="2" t="s">
        <v>17</v>
      </c>
    </row>
    <row r="870" spans="1:16" x14ac:dyDescent="0.25">
      <c r="A870">
        <v>20598</v>
      </c>
      <c r="B870" s="2" t="s">
        <v>31</v>
      </c>
      <c r="C870" s="2" t="s">
        <v>34</v>
      </c>
      <c r="D870" s="4">
        <v>100000</v>
      </c>
      <c r="E87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0">
        <v>3</v>
      </c>
      <c r="G870" s="2" t="s">
        <v>28</v>
      </c>
      <c r="H870" s="2" t="s">
        <v>20</v>
      </c>
      <c r="I870" t="s">
        <v>14</v>
      </c>
      <c r="J870">
        <v>0</v>
      </c>
      <c r="K870" t="s">
        <v>37</v>
      </c>
      <c r="L870" s="2" t="s">
        <v>16</v>
      </c>
      <c r="M870" s="4">
        <v>59</v>
      </c>
      <c r="N870" s="4" t="str">
        <f>IF(Bike_Data[[#This Row],[Age]]&gt;=54,"Old",IF(Bike_Data[[#This Row],[Age]]&lt;30,"Young Adult","Middle Age"))</f>
        <v>Old</v>
      </c>
      <c r="O870" s="5">
        <f t="shared" ca="1" si="13"/>
        <v>37136</v>
      </c>
      <c r="P870" s="2" t="s">
        <v>14</v>
      </c>
    </row>
    <row r="871" spans="1:16" x14ac:dyDescent="0.25">
      <c r="A871">
        <v>12663</v>
      </c>
      <c r="B871" s="2" t="s">
        <v>31</v>
      </c>
      <c r="C871" s="2" t="s">
        <v>33</v>
      </c>
      <c r="D871" s="4">
        <v>90000</v>
      </c>
      <c r="E87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1">
        <v>5</v>
      </c>
      <c r="G871" s="2" t="s">
        <v>28</v>
      </c>
      <c r="H871" s="2" t="s">
        <v>13</v>
      </c>
      <c r="I871" t="s">
        <v>14</v>
      </c>
      <c r="J871">
        <v>2</v>
      </c>
      <c r="K871" t="s">
        <v>37</v>
      </c>
      <c r="L871" s="2" t="s">
        <v>16</v>
      </c>
      <c r="M871" s="4">
        <v>59</v>
      </c>
      <c r="N871" s="4" t="str">
        <f>IF(Bike_Data[[#This Row],[Age]]&gt;=54,"Old",IF(Bike_Data[[#This Row],[Age]]&lt;30,"Young Adult","Middle Age"))</f>
        <v>Old</v>
      </c>
      <c r="O871" s="5">
        <f t="shared" ca="1" si="13"/>
        <v>28054</v>
      </c>
      <c r="P871" s="2" t="s">
        <v>17</v>
      </c>
    </row>
    <row r="872" spans="1:16" x14ac:dyDescent="0.25">
      <c r="A872">
        <v>18153</v>
      </c>
      <c r="B872" s="2" t="s">
        <v>31</v>
      </c>
      <c r="C872" s="2" t="s">
        <v>33</v>
      </c>
      <c r="D872" s="4">
        <v>100000</v>
      </c>
      <c r="E8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2">
        <v>2</v>
      </c>
      <c r="G872" s="2" t="s">
        <v>12</v>
      </c>
      <c r="H872" s="2" t="s">
        <v>27</v>
      </c>
      <c r="I872" t="s">
        <v>14</v>
      </c>
      <c r="J872">
        <v>4</v>
      </c>
      <c r="K872" t="s">
        <v>37</v>
      </c>
      <c r="L872" s="2" t="s">
        <v>16</v>
      </c>
      <c r="M872" s="4">
        <v>59</v>
      </c>
      <c r="N872" s="4" t="str">
        <f>IF(Bike_Data[[#This Row],[Age]]&gt;=54,"Old",IF(Bike_Data[[#This Row],[Age]]&lt;30,"Young Adult","Middle Age"))</f>
        <v>Old</v>
      </c>
      <c r="O872" s="5">
        <f t="shared" ca="1" si="13"/>
        <v>36282</v>
      </c>
      <c r="P872" s="2" t="s">
        <v>17</v>
      </c>
    </row>
    <row r="873" spans="1:16" x14ac:dyDescent="0.25">
      <c r="A873">
        <v>16791</v>
      </c>
      <c r="B873" s="2" t="s">
        <v>32</v>
      </c>
      <c r="C873" s="2" t="s">
        <v>34</v>
      </c>
      <c r="D873" s="4">
        <v>60000</v>
      </c>
      <c r="E87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3">
        <v>5</v>
      </c>
      <c r="G873" s="2" t="s">
        <v>12</v>
      </c>
      <c r="H873" s="2" t="s">
        <v>27</v>
      </c>
      <c r="I873" t="s">
        <v>14</v>
      </c>
      <c r="J873">
        <v>3</v>
      </c>
      <c r="K873" t="s">
        <v>37</v>
      </c>
      <c r="L873" s="2" t="s">
        <v>30</v>
      </c>
      <c r="M873" s="4">
        <v>59</v>
      </c>
      <c r="N873" s="4" t="str">
        <f>IF(Bike_Data[[#This Row],[Age]]&gt;=54,"Old",IF(Bike_Data[[#This Row],[Age]]&lt;30,"Young Adult","Middle Age"))</f>
        <v>Old</v>
      </c>
      <c r="O873" s="5">
        <f t="shared" ca="1" si="13"/>
        <v>35570</v>
      </c>
      <c r="P873" s="2" t="s">
        <v>14</v>
      </c>
    </row>
    <row r="874" spans="1:16" x14ac:dyDescent="0.25">
      <c r="A874">
        <v>15313</v>
      </c>
      <c r="B874" s="2" t="s">
        <v>31</v>
      </c>
      <c r="C874" s="2" t="s">
        <v>34</v>
      </c>
      <c r="D874" s="4">
        <v>60000</v>
      </c>
      <c r="E87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4">
        <v>4</v>
      </c>
      <c r="G874" s="2" t="s">
        <v>12</v>
      </c>
      <c r="H874" s="2" t="s">
        <v>27</v>
      </c>
      <c r="I874" t="s">
        <v>14</v>
      </c>
      <c r="J874">
        <v>2</v>
      </c>
      <c r="K874" t="s">
        <v>21</v>
      </c>
      <c r="L874" s="2" t="s">
        <v>30</v>
      </c>
      <c r="M874" s="4">
        <v>59</v>
      </c>
      <c r="N874" s="4" t="str">
        <f>IF(Bike_Data[[#This Row],[Age]]&gt;=54,"Old",IF(Bike_Data[[#This Row],[Age]]&lt;30,"Young Adult","Middle Age"))</f>
        <v>Old</v>
      </c>
      <c r="O874" s="5">
        <f t="shared" ca="1" si="13"/>
        <v>26235</v>
      </c>
      <c r="P874" s="2" t="s">
        <v>17</v>
      </c>
    </row>
    <row r="875" spans="1:16" x14ac:dyDescent="0.25">
      <c r="A875">
        <v>21471</v>
      </c>
      <c r="B875" s="2" t="s">
        <v>31</v>
      </c>
      <c r="C875" s="2" t="s">
        <v>34</v>
      </c>
      <c r="D875" s="4">
        <v>70000</v>
      </c>
      <c r="E87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5">
        <v>2</v>
      </c>
      <c r="G875" s="2" t="s">
        <v>18</v>
      </c>
      <c r="H875" s="2" t="s">
        <v>20</v>
      </c>
      <c r="I875" t="s">
        <v>14</v>
      </c>
      <c r="J875">
        <v>1</v>
      </c>
      <c r="K875" t="s">
        <v>37</v>
      </c>
      <c r="L875" s="2" t="s">
        <v>30</v>
      </c>
      <c r="M875" s="4">
        <v>59</v>
      </c>
      <c r="N875" s="4" t="str">
        <f>IF(Bike_Data[[#This Row],[Age]]&gt;=54,"Old",IF(Bike_Data[[#This Row],[Age]]&lt;30,"Young Adult","Middle Age"))</f>
        <v>Old</v>
      </c>
      <c r="O875" s="5">
        <f t="shared" ca="1" si="13"/>
        <v>33515</v>
      </c>
      <c r="P875" s="2" t="s">
        <v>17</v>
      </c>
    </row>
    <row r="876" spans="1:16" x14ac:dyDescent="0.25">
      <c r="A876">
        <v>16795</v>
      </c>
      <c r="B876" s="2" t="s">
        <v>31</v>
      </c>
      <c r="C876" s="2" t="s">
        <v>33</v>
      </c>
      <c r="D876" s="4">
        <v>70000</v>
      </c>
      <c r="E87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6">
        <v>4</v>
      </c>
      <c r="G876" s="2" t="s">
        <v>12</v>
      </c>
      <c r="H876" s="2" t="s">
        <v>27</v>
      </c>
      <c r="I876" t="s">
        <v>14</v>
      </c>
      <c r="J876">
        <v>1</v>
      </c>
      <c r="K876" t="s">
        <v>25</v>
      </c>
      <c r="L876" s="2" t="s">
        <v>30</v>
      </c>
      <c r="M876" s="4">
        <v>59</v>
      </c>
      <c r="N876" s="4" t="str">
        <f>IF(Bike_Data[[#This Row],[Age]]&gt;=54,"Old",IF(Bike_Data[[#This Row],[Age]]&lt;30,"Young Adult","Middle Age"))</f>
        <v>Old</v>
      </c>
      <c r="O876" s="5">
        <f t="shared" ca="1" si="13"/>
        <v>31075</v>
      </c>
      <c r="P876" s="2" t="s">
        <v>17</v>
      </c>
    </row>
    <row r="877" spans="1:16" x14ac:dyDescent="0.25">
      <c r="A877">
        <v>11199</v>
      </c>
      <c r="B877" s="2" t="s">
        <v>31</v>
      </c>
      <c r="C877" s="2" t="s">
        <v>33</v>
      </c>
      <c r="D877" s="4">
        <v>70000</v>
      </c>
      <c r="E87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7">
        <v>4</v>
      </c>
      <c r="G877" s="2" t="s">
        <v>12</v>
      </c>
      <c r="H877" s="2" t="s">
        <v>27</v>
      </c>
      <c r="I877" t="s">
        <v>14</v>
      </c>
      <c r="J877">
        <v>1</v>
      </c>
      <c r="K877" t="s">
        <v>37</v>
      </c>
      <c r="L877" s="2" t="s">
        <v>30</v>
      </c>
      <c r="M877" s="4">
        <v>59</v>
      </c>
      <c r="N877" s="4" t="str">
        <f>IF(Bike_Data[[#This Row],[Age]]&gt;=54,"Old",IF(Bike_Data[[#This Row],[Age]]&lt;30,"Young Adult","Middle Age"))</f>
        <v>Old</v>
      </c>
      <c r="O877" s="5">
        <f t="shared" ca="1" si="13"/>
        <v>33445</v>
      </c>
      <c r="P877" s="2" t="s">
        <v>17</v>
      </c>
    </row>
    <row r="878" spans="1:16" x14ac:dyDescent="0.25">
      <c r="A878">
        <v>23712</v>
      </c>
      <c r="B878" s="2" t="s">
        <v>32</v>
      </c>
      <c r="C878" s="2" t="s">
        <v>33</v>
      </c>
      <c r="D878" s="4">
        <v>70000</v>
      </c>
      <c r="E87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78">
        <v>2</v>
      </c>
      <c r="G878" s="2" t="s">
        <v>12</v>
      </c>
      <c r="H878" s="2" t="s">
        <v>27</v>
      </c>
      <c r="I878" t="s">
        <v>14</v>
      </c>
      <c r="J878">
        <v>1</v>
      </c>
      <c r="K878" t="s">
        <v>37</v>
      </c>
      <c r="L878" s="2" t="s">
        <v>30</v>
      </c>
      <c r="M878" s="4">
        <v>59</v>
      </c>
      <c r="N878" s="4" t="str">
        <f>IF(Bike_Data[[#This Row],[Age]]&gt;=54,"Old",IF(Bike_Data[[#This Row],[Age]]&lt;30,"Young Adult","Middle Age"))</f>
        <v>Old</v>
      </c>
      <c r="O878" s="5">
        <f t="shared" ca="1" si="13"/>
        <v>31018</v>
      </c>
      <c r="P878" s="2" t="s">
        <v>17</v>
      </c>
    </row>
    <row r="879" spans="1:16" x14ac:dyDescent="0.25">
      <c r="A879">
        <v>28026</v>
      </c>
      <c r="B879" s="2" t="s">
        <v>31</v>
      </c>
      <c r="C879" s="2" t="s">
        <v>33</v>
      </c>
      <c r="D879" s="4">
        <v>40000</v>
      </c>
      <c r="E87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79">
        <v>2</v>
      </c>
      <c r="G879" s="2" t="s">
        <v>26</v>
      </c>
      <c r="H879" s="2" t="s">
        <v>20</v>
      </c>
      <c r="I879" t="s">
        <v>17</v>
      </c>
      <c r="J879">
        <v>2</v>
      </c>
      <c r="K879" t="s">
        <v>21</v>
      </c>
      <c r="L879" s="2" t="s">
        <v>30</v>
      </c>
      <c r="M879" s="4">
        <v>59</v>
      </c>
      <c r="N879" s="4" t="str">
        <f>IF(Bike_Data[[#This Row],[Age]]&gt;=54,"Old",IF(Bike_Data[[#This Row],[Age]]&lt;30,"Young Adult","Middle Age"))</f>
        <v>Old</v>
      </c>
      <c r="O879" s="5">
        <f t="shared" ca="1" si="13"/>
        <v>36691</v>
      </c>
      <c r="P879" s="2" t="s">
        <v>17</v>
      </c>
    </row>
    <row r="880" spans="1:16" x14ac:dyDescent="0.25">
      <c r="A880">
        <v>20514</v>
      </c>
      <c r="B880" s="2" t="s">
        <v>31</v>
      </c>
      <c r="C880" s="2" t="s">
        <v>33</v>
      </c>
      <c r="D880" s="4">
        <v>70000</v>
      </c>
      <c r="E88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0">
        <v>2</v>
      </c>
      <c r="G880" s="2" t="s">
        <v>18</v>
      </c>
      <c r="H880" s="2" t="s">
        <v>20</v>
      </c>
      <c r="I880" t="s">
        <v>14</v>
      </c>
      <c r="J880">
        <v>1</v>
      </c>
      <c r="K880" t="s">
        <v>21</v>
      </c>
      <c r="L880" s="2" t="s">
        <v>30</v>
      </c>
      <c r="M880" s="4">
        <v>59</v>
      </c>
      <c r="N880" s="4" t="str">
        <f>IF(Bike_Data[[#This Row],[Age]]&gt;=54,"Old",IF(Bike_Data[[#This Row],[Age]]&lt;30,"Young Adult","Middle Age"))</f>
        <v>Old</v>
      </c>
      <c r="O880" s="5">
        <f t="shared" ca="1" si="13"/>
        <v>31979</v>
      </c>
      <c r="P880" s="2" t="s">
        <v>17</v>
      </c>
    </row>
    <row r="881" spans="1:16" x14ac:dyDescent="0.25">
      <c r="A881">
        <v>23668</v>
      </c>
      <c r="B881" s="2" t="s">
        <v>31</v>
      </c>
      <c r="C881" s="2" t="s">
        <v>33</v>
      </c>
      <c r="D881" s="4">
        <v>40000</v>
      </c>
      <c r="E88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81">
        <v>4</v>
      </c>
      <c r="G881" s="2" t="s">
        <v>26</v>
      </c>
      <c r="H881" s="2" t="s">
        <v>20</v>
      </c>
      <c r="I881" t="s">
        <v>14</v>
      </c>
      <c r="J881">
        <v>2</v>
      </c>
      <c r="K881" t="s">
        <v>22</v>
      </c>
      <c r="L881" s="2" t="s">
        <v>30</v>
      </c>
      <c r="M881" s="4">
        <v>59</v>
      </c>
      <c r="N881" s="4" t="str">
        <f>IF(Bike_Data[[#This Row],[Age]]&gt;=54,"Old",IF(Bike_Data[[#This Row],[Age]]&lt;30,"Young Adult","Middle Age"))</f>
        <v>Old</v>
      </c>
      <c r="O881" s="5">
        <f t="shared" ca="1" si="13"/>
        <v>37836</v>
      </c>
      <c r="P881" s="2" t="s">
        <v>14</v>
      </c>
    </row>
    <row r="882" spans="1:16" x14ac:dyDescent="0.25">
      <c r="A882">
        <v>13216</v>
      </c>
      <c r="B882" s="2" t="s">
        <v>31</v>
      </c>
      <c r="C882" s="2" t="s">
        <v>33</v>
      </c>
      <c r="D882" s="4">
        <v>60000</v>
      </c>
      <c r="E88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2">
        <v>5</v>
      </c>
      <c r="G882" s="2" t="s">
        <v>12</v>
      </c>
      <c r="H882" s="2" t="s">
        <v>27</v>
      </c>
      <c r="I882" t="s">
        <v>14</v>
      </c>
      <c r="J882">
        <v>3</v>
      </c>
      <c r="K882" t="s">
        <v>37</v>
      </c>
      <c r="L882" s="2" t="s">
        <v>30</v>
      </c>
      <c r="M882" s="4">
        <v>59</v>
      </c>
      <c r="N882" s="4" t="str">
        <f>IF(Bike_Data[[#This Row],[Age]]&gt;=54,"Old",IF(Bike_Data[[#This Row],[Age]]&lt;30,"Young Adult","Middle Age"))</f>
        <v>Old</v>
      </c>
      <c r="O882" s="5">
        <f t="shared" ca="1" si="13"/>
        <v>26769</v>
      </c>
      <c r="P882" s="2" t="s">
        <v>17</v>
      </c>
    </row>
    <row r="883" spans="1:16" x14ac:dyDescent="0.25">
      <c r="A883">
        <v>26490</v>
      </c>
      <c r="B883" s="2" t="s">
        <v>32</v>
      </c>
      <c r="C883" s="2" t="s">
        <v>34</v>
      </c>
      <c r="D883" s="4">
        <v>70000</v>
      </c>
      <c r="E8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3">
        <v>2</v>
      </c>
      <c r="G883" s="2" t="s">
        <v>12</v>
      </c>
      <c r="H883" s="2" t="s">
        <v>27</v>
      </c>
      <c r="I883" t="s">
        <v>17</v>
      </c>
      <c r="J883">
        <v>1</v>
      </c>
      <c r="K883" t="s">
        <v>21</v>
      </c>
      <c r="L883" s="2" t="s">
        <v>30</v>
      </c>
      <c r="M883" s="4">
        <v>59</v>
      </c>
      <c r="N883" s="4" t="str">
        <f>IF(Bike_Data[[#This Row],[Age]]&gt;=54,"Old",IF(Bike_Data[[#This Row],[Age]]&lt;30,"Young Adult","Middle Age"))</f>
        <v>Old</v>
      </c>
      <c r="O883" s="5">
        <f t="shared" ca="1" si="13"/>
        <v>26201</v>
      </c>
      <c r="P883" s="2" t="s">
        <v>14</v>
      </c>
    </row>
    <row r="884" spans="1:16" x14ac:dyDescent="0.25">
      <c r="A884">
        <v>28031</v>
      </c>
      <c r="B884" s="2" t="s">
        <v>32</v>
      </c>
      <c r="C884" s="2" t="s">
        <v>33</v>
      </c>
      <c r="D884" s="4">
        <v>70000</v>
      </c>
      <c r="E88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4">
        <v>2</v>
      </c>
      <c r="G884" s="2" t="s">
        <v>12</v>
      </c>
      <c r="H884" s="2" t="s">
        <v>27</v>
      </c>
      <c r="I884" t="s">
        <v>17</v>
      </c>
      <c r="J884">
        <v>1</v>
      </c>
      <c r="K884" t="s">
        <v>21</v>
      </c>
      <c r="L884" s="2" t="s">
        <v>30</v>
      </c>
      <c r="M884" s="4">
        <v>59</v>
      </c>
      <c r="N884" s="4" t="str">
        <f>IF(Bike_Data[[#This Row],[Age]]&gt;=54,"Old",IF(Bike_Data[[#This Row],[Age]]&lt;30,"Young Adult","Middle Age"))</f>
        <v>Old</v>
      </c>
      <c r="O884" s="5">
        <f t="shared" ca="1" si="13"/>
        <v>33626</v>
      </c>
      <c r="P884" s="2" t="s">
        <v>14</v>
      </c>
    </row>
    <row r="885" spans="1:16" x14ac:dyDescent="0.25">
      <c r="A885">
        <v>14389</v>
      </c>
      <c r="B885" s="2" t="s">
        <v>31</v>
      </c>
      <c r="C885" s="2" t="s">
        <v>34</v>
      </c>
      <c r="D885" s="4">
        <v>60000</v>
      </c>
      <c r="E88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5">
        <v>2</v>
      </c>
      <c r="G885" s="2" t="s">
        <v>12</v>
      </c>
      <c r="H885" s="2" t="s">
        <v>27</v>
      </c>
      <c r="I885" t="s">
        <v>14</v>
      </c>
      <c r="J885">
        <v>0</v>
      </c>
      <c r="K885" t="s">
        <v>21</v>
      </c>
      <c r="L885" s="2" t="s">
        <v>30</v>
      </c>
      <c r="M885" s="4">
        <v>59</v>
      </c>
      <c r="N885" s="4" t="str">
        <f>IF(Bike_Data[[#This Row],[Age]]&gt;=54,"Old",IF(Bike_Data[[#This Row],[Age]]&lt;30,"Young Adult","Middle Age"))</f>
        <v>Old</v>
      </c>
      <c r="O885" s="5">
        <f t="shared" ca="1" si="13"/>
        <v>36607</v>
      </c>
      <c r="P885" s="2" t="s">
        <v>17</v>
      </c>
    </row>
    <row r="886" spans="1:16" x14ac:dyDescent="0.25">
      <c r="A886">
        <v>15319</v>
      </c>
      <c r="B886" s="2" t="s">
        <v>31</v>
      </c>
      <c r="C886" s="2" t="s">
        <v>33</v>
      </c>
      <c r="D886" s="4">
        <v>70000</v>
      </c>
      <c r="E88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6">
        <v>4</v>
      </c>
      <c r="G886" s="2" t="s">
        <v>12</v>
      </c>
      <c r="H886" s="2" t="s">
        <v>27</v>
      </c>
      <c r="I886" t="s">
        <v>17</v>
      </c>
      <c r="J886">
        <v>1</v>
      </c>
      <c r="K886" t="s">
        <v>25</v>
      </c>
      <c r="L886" s="2" t="s">
        <v>30</v>
      </c>
      <c r="M886" s="4">
        <v>59</v>
      </c>
      <c r="N886" s="4" t="str">
        <f>IF(Bike_Data[[#This Row],[Age]]&gt;=54,"Old",IF(Bike_Data[[#This Row],[Age]]&lt;30,"Young Adult","Middle Age"))</f>
        <v>Old</v>
      </c>
      <c r="O886" s="5">
        <f t="shared" ca="1" si="13"/>
        <v>26972</v>
      </c>
      <c r="P886" s="2" t="s">
        <v>17</v>
      </c>
    </row>
    <row r="887" spans="1:16" x14ac:dyDescent="0.25">
      <c r="A887">
        <v>14177</v>
      </c>
      <c r="B887" s="2" t="s">
        <v>31</v>
      </c>
      <c r="C887" s="2" t="s">
        <v>34</v>
      </c>
      <c r="D887" s="4">
        <v>80000</v>
      </c>
      <c r="E88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87">
        <v>5</v>
      </c>
      <c r="G887" s="2" t="s">
        <v>18</v>
      </c>
      <c r="H887" s="2" t="s">
        <v>20</v>
      </c>
      <c r="I887" t="s">
        <v>17</v>
      </c>
      <c r="J887">
        <v>2</v>
      </c>
      <c r="K887" t="s">
        <v>21</v>
      </c>
      <c r="L887" s="2" t="s">
        <v>16</v>
      </c>
      <c r="M887" s="4">
        <v>60</v>
      </c>
      <c r="N887" s="4" t="str">
        <f>IF(Bike_Data[[#This Row],[Age]]&gt;=54,"Old",IF(Bike_Data[[#This Row],[Age]]&lt;30,"Young Adult","Middle Age"))</f>
        <v>Old</v>
      </c>
      <c r="O887" s="5">
        <f t="shared" ca="1" si="13"/>
        <v>33302</v>
      </c>
      <c r="P887" s="2" t="s">
        <v>17</v>
      </c>
    </row>
    <row r="888" spans="1:16" x14ac:dyDescent="0.25">
      <c r="A888">
        <v>26547</v>
      </c>
      <c r="B888" s="2" t="s">
        <v>32</v>
      </c>
      <c r="C888" s="2" t="s">
        <v>33</v>
      </c>
      <c r="D888" s="4">
        <v>30000</v>
      </c>
      <c r="E8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88">
        <v>2</v>
      </c>
      <c r="G888" s="2" t="s">
        <v>18</v>
      </c>
      <c r="H888" s="2" t="s">
        <v>19</v>
      </c>
      <c r="I888" t="s">
        <v>17</v>
      </c>
      <c r="J888">
        <v>2</v>
      </c>
      <c r="K888" t="s">
        <v>22</v>
      </c>
      <c r="L888" s="2" t="s">
        <v>23</v>
      </c>
      <c r="M888" s="4">
        <v>60</v>
      </c>
      <c r="N888" s="4" t="str">
        <f>IF(Bike_Data[[#This Row],[Age]]&gt;=54,"Old",IF(Bike_Data[[#This Row],[Age]]&lt;30,"Young Adult","Middle Age"))</f>
        <v>Old</v>
      </c>
      <c r="O888" s="5">
        <f t="shared" ca="1" si="13"/>
        <v>32708</v>
      </c>
      <c r="P888" s="2" t="s">
        <v>14</v>
      </c>
    </row>
    <row r="889" spans="1:16" x14ac:dyDescent="0.25">
      <c r="A889">
        <v>19675</v>
      </c>
      <c r="B889" s="2" t="s">
        <v>31</v>
      </c>
      <c r="C889" s="2" t="s">
        <v>34</v>
      </c>
      <c r="D889" s="4">
        <v>20000</v>
      </c>
      <c r="E88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89">
        <v>4</v>
      </c>
      <c r="G889" s="2" t="s">
        <v>26</v>
      </c>
      <c r="H889" s="2" t="s">
        <v>13</v>
      </c>
      <c r="I889" t="s">
        <v>14</v>
      </c>
      <c r="J889">
        <v>2</v>
      </c>
      <c r="K889" t="s">
        <v>22</v>
      </c>
      <c r="L889" s="2" t="s">
        <v>23</v>
      </c>
      <c r="M889" s="4">
        <v>60</v>
      </c>
      <c r="N889" s="4" t="str">
        <f>IF(Bike_Data[[#This Row],[Age]]&gt;=54,"Old",IF(Bike_Data[[#This Row],[Age]]&lt;30,"Young Adult","Middle Age"))</f>
        <v>Old</v>
      </c>
      <c r="O889" s="5">
        <f t="shared" ca="1" si="13"/>
        <v>37776</v>
      </c>
      <c r="P889" s="2" t="s">
        <v>17</v>
      </c>
    </row>
    <row r="890" spans="1:16" x14ac:dyDescent="0.25">
      <c r="A890">
        <v>25918</v>
      </c>
      <c r="B890" s="2" t="s">
        <v>32</v>
      </c>
      <c r="C890" s="2" t="s">
        <v>33</v>
      </c>
      <c r="D890" s="4">
        <v>30000</v>
      </c>
      <c r="E89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0">
        <v>2</v>
      </c>
      <c r="G890" s="2" t="s">
        <v>18</v>
      </c>
      <c r="H890" s="2" t="s">
        <v>19</v>
      </c>
      <c r="I890" t="s">
        <v>17</v>
      </c>
      <c r="J890">
        <v>2</v>
      </c>
      <c r="K890" t="s">
        <v>22</v>
      </c>
      <c r="L890" s="2" t="s">
        <v>23</v>
      </c>
      <c r="M890" s="4">
        <v>60</v>
      </c>
      <c r="N890" s="4" t="str">
        <f>IF(Bike_Data[[#This Row],[Age]]&gt;=54,"Old",IF(Bike_Data[[#This Row],[Age]]&lt;30,"Young Adult","Middle Age"))</f>
        <v>Old</v>
      </c>
      <c r="O890" s="5">
        <f t="shared" ca="1" si="13"/>
        <v>31965</v>
      </c>
      <c r="P890" s="2" t="s">
        <v>14</v>
      </c>
    </row>
    <row r="891" spans="1:16" x14ac:dyDescent="0.25">
      <c r="A891">
        <v>19748</v>
      </c>
      <c r="B891" s="2" t="s">
        <v>31</v>
      </c>
      <c r="C891" s="2" t="s">
        <v>34</v>
      </c>
      <c r="D891" s="4">
        <v>20000</v>
      </c>
      <c r="E89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1">
        <v>4</v>
      </c>
      <c r="G891" s="2" t="s">
        <v>26</v>
      </c>
      <c r="H891" s="2" t="s">
        <v>13</v>
      </c>
      <c r="I891" t="s">
        <v>17</v>
      </c>
      <c r="J891">
        <v>2</v>
      </c>
      <c r="K891" t="s">
        <v>25</v>
      </c>
      <c r="L891" s="2" t="s">
        <v>23</v>
      </c>
      <c r="M891" s="4">
        <v>60</v>
      </c>
      <c r="N891" s="4" t="str">
        <f>IF(Bike_Data[[#This Row],[Age]]&gt;=54,"Old",IF(Bike_Data[[#This Row],[Age]]&lt;30,"Young Adult","Middle Age"))</f>
        <v>Old</v>
      </c>
      <c r="O891" s="5">
        <f t="shared" ca="1" si="13"/>
        <v>28689</v>
      </c>
      <c r="P891" s="2" t="s">
        <v>17</v>
      </c>
    </row>
    <row r="892" spans="1:16" x14ac:dyDescent="0.25">
      <c r="A892">
        <v>23707</v>
      </c>
      <c r="B892" s="2" t="s">
        <v>32</v>
      </c>
      <c r="C892" s="2" t="s">
        <v>34</v>
      </c>
      <c r="D892" s="4">
        <v>70000</v>
      </c>
      <c r="E89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92">
        <v>5</v>
      </c>
      <c r="G892" s="2" t="s">
        <v>12</v>
      </c>
      <c r="H892" s="2" t="s">
        <v>27</v>
      </c>
      <c r="I892" t="s">
        <v>14</v>
      </c>
      <c r="J892">
        <v>3</v>
      </c>
      <c r="K892" t="s">
        <v>37</v>
      </c>
      <c r="L892" s="2" t="s">
        <v>30</v>
      </c>
      <c r="M892" s="4">
        <v>60</v>
      </c>
      <c r="N892" s="4" t="str">
        <f>IF(Bike_Data[[#This Row],[Age]]&gt;=54,"Old",IF(Bike_Data[[#This Row],[Age]]&lt;30,"Young Adult","Middle Age"))</f>
        <v>Old</v>
      </c>
      <c r="O892" s="5">
        <f t="shared" ca="1" si="13"/>
        <v>29524</v>
      </c>
      <c r="P892" s="2" t="s">
        <v>14</v>
      </c>
    </row>
    <row r="893" spans="1:16" x14ac:dyDescent="0.25">
      <c r="A893">
        <v>21770</v>
      </c>
      <c r="B893" s="2" t="s">
        <v>31</v>
      </c>
      <c r="C893" s="2" t="s">
        <v>34</v>
      </c>
      <c r="D893" s="4">
        <v>60000</v>
      </c>
      <c r="E89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93">
        <v>4</v>
      </c>
      <c r="G893" s="2" t="s">
        <v>12</v>
      </c>
      <c r="H893" s="2" t="s">
        <v>27</v>
      </c>
      <c r="I893" t="s">
        <v>14</v>
      </c>
      <c r="J893">
        <v>2</v>
      </c>
      <c r="K893" t="s">
        <v>37</v>
      </c>
      <c r="L893" s="2" t="s">
        <v>30</v>
      </c>
      <c r="M893" s="4">
        <v>60</v>
      </c>
      <c r="N893" s="4" t="str">
        <f>IF(Bike_Data[[#This Row],[Age]]&gt;=54,"Old",IF(Bike_Data[[#This Row],[Age]]&lt;30,"Young Adult","Middle Age"))</f>
        <v>Old</v>
      </c>
      <c r="O893" s="5">
        <f t="shared" ca="1" si="13"/>
        <v>36003</v>
      </c>
      <c r="P893" s="2" t="s">
        <v>17</v>
      </c>
    </row>
    <row r="894" spans="1:16" x14ac:dyDescent="0.25">
      <c r="A894">
        <v>18069</v>
      </c>
      <c r="B894" s="2" t="s">
        <v>31</v>
      </c>
      <c r="C894" s="2" t="s">
        <v>34</v>
      </c>
      <c r="D894" s="4">
        <v>70000</v>
      </c>
      <c r="E8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94">
        <v>5</v>
      </c>
      <c r="G894" s="2" t="s">
        <v>12</v>
      </c>
      <c r="H894" s="2" t="s">
        <v>27</v>
      </c>
      <c r="I894" t="s">
        <v>14</v>
      </c>
      <c r="J894">
        <v>4</v>
      </c>
      <c r="K894" t="s">
        <v>37</v>
      </c>
      <c r="L894" s="2" t="s">
        <v>30</v>
      </c>
      <c r="M894" s="4">
        <v>60</v>
      </c>
      <c r="N894" s="4" t="str">
        <f>IF(Bike_Data[[#This Row],[Age]]&gt;=54,"Old",IF(Bike_Data[[#This Row],[Age]]&lt;30,"Young Adult","Middle Age"))</f>
        <v>Old</v>
      </c>
      <c r="O894" s="5">
        <f t="shared" ca="1" si="13"/>
        <v>28965</v>
      </c>
      <c r="P894" s="2" t="s">
        <v>17</v>
      </c>
    </row>
    <row r="895" spans="1:16" x14ac:dyDescent="0.25">
      <c r="A895">
        <v>24958</v>
      </c>
      <c r="B895" s="2" t="s">
        <v>32</v>
      </c>
      <c r="C895" s="2" t="s">
        <v>33</v>
      </c>
      <c r="D895" s="4">
        <v>40000</v>
      </c>
      <c r="E89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5">
        <v>5</v>
      </c>
      <c r="G895" s="2" t="s">
        <v>26</v>
      </c>
      <c r="H895" s="2" t="s">
        <v>20</v>
      </c>
      <c r="I895" t="s">
        <v>17</v>
      </c>
      <c r="J895">
        <v>3</v>
      </c>
      <c r="K895" t="s">
        <v>21</v>
      </c>
      <c r="L895" s="2" t="s">
        <v>30</v>
      </c>
      <c r="M895" s="4">
        <v>60</v>
      </c>
      <c r="N895" s="4" t="str">
        <f>IF(Bike_Data[[#This Row],[Age]]&gt;=54,"Old",IF(Bike_Data[[#This Row],[Age]]&lt;30,"Young Adult","Middle Age"))</f>
        <v>Old</v>
      </c>
      <c r="O895" s="5">
        <f t="shared" ca="1" si="13"/>
        <v>30223</v>
      </c>
      <c r="P895" s="2" t="s">
        <v>14</v>
      </c>
    </row>
    <row r="896" spans="1:16" x14ac:dyDescent="0.25">
      <c r="A896">
        <v>22743</v>
      </c>
      <c r="B896" s="2" t="s">
        <v>31</v>
      </c>
      <c r="C896" s="2" t="s">
        <v>33</v>
      </c>
      <c r="D896" s="4">
        <v>40000</v>
      </c>
      <c r="E89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6">
        <v>5</v>
      </c>
      <c r="G896" s="2" t="s">
        <v>26</v>
      </c>
      <c r="H896" s="2" t="s">
        <v>20</v>
      </c>
      <c r="I896" t="s">
        <v>14</v>
      </c>
      <c r="J896">
        <v>2</v>
      </c>
      <c r="K896" t="s">
        <v>37</v>
      </c>
      <c r="L896" s="2" t="s">
        <v>30</v>
      </c>
      <c r="M896" s="4">
        <v>60</v>
      </c>
      <c r="N896" s="4" t="str">
        <f>IF(Bike_Data[[#This Row],[Age]]&gt;=54,"Old",IF(Bike_Data[[#This Row],[Age]]&lt;30,"Young Adult","Middle Age"))</f>
        <v>Old</v>
      </c>
      <c r="O896" s="5">
        <f t="shared" ca="1" si="13"/>
        <v>35478</v>
      </c>
      <c r="P896" s="2" t="s">
        <v>17</v>
      </c>
    </row>
    <row r="897" spans="1:16" x14ac:dyDescent="0.25">
      <c r="A897">
        <v>20504</v>
      </c>
      <c r="B897" s="2" t="s">
        <v>31</v>
      </c>
      <c r="C897" s="2" t="s">
        <v>33</v>
      </c>
      <c r="D897" s="4">
        <v>40000</v>
      </c>
      <c r="E89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7">
        <v>5</v>
      </c>
      <c r="G897" s="2" t="s">
        <v>26</v>
      </c>
      <c r="H897" s="2" t="s">
        <v>20</v>
      </c>
      <c r="I897" t="s">
        <v>17</v>
      </c>
      <c r="J897">
        <v>2</v>
      </c>
      <c r="K897" t="s">
        <v>21</v>
      </c>
      <c r="L897" s="2" t="s">
        <v>30</v>
      </c>
      <c r="M897" s="4">
        <v>60</v>
      </c>
      <c r="N897" s="4" t="str">
        <f>IF(Bike_Data[[#This Row],[Age]]&gt;=54,"Old",IF(Bike_Data[[#This Row],[Age]]&lt;30,"Young Adult","Middle Age"))</f>
        <v>Old</v>
      </c>
      <c r="O897" s="5">
        <f t="shared" ca="1" si="13"/>
        <v>34224</v>
      </c>
      <c r="P897" s="2" t="s">
        <v>17</v>
      </c>
    </row>
    <row r="898" spans="1:16" x14ac:dyDescent="0.25">
      <c r="A898">
        <v>24955</v>
      </c>
      <c r="B898" s="2" t="s">
        <v>32</v>
      </c>
      <c r="C898" s="2" t="s">
        <v>34</v>
      </c>
      <c r="D898" s="4">
        <v>30000</v>
      </c>
      <c r="E89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898">
        <v>5</v>
      </c>
      <c r="G898" s="2" t="s">
        <v>28</v>
      </c>
      <c r="H898" s="2" t="s">
        <v>13</v>
      </c>
      <c r="I898" t="s">
        <v>14</v>
      </c>
      <c r="J898">
        <v>3</v>
      </c>
      <c r="K898" t="s">
        <v>37</v>
      </c>
      <c r="L898" s="2" t="s">
        <v>30</v>
      </c>
      <c r="M898" s="4">
        <v>60</v>
      </c>
      <c r="N898" s="4" t="str">
        <f>IF(Bike_Data[[#This Row],[Age]]&gt;=54,"Old",IF(Bike_Data[[#This Row],[Age]]&lt;30,"Young Adult","Middle Age"))</f>
        <v>Old</v>
      </c>
      <c r="O898" s="5">
        <f t="shared" ca="1" si="13"/>
        <v>37945</v>
      </c>
      <c r="P898" s="2" t="s">
        <v>14</v>
      </c>
    </row>
    <row r="899" spans="1:16" x14ac:dyDescent="0.25">
      <c r="A899">
        <v>18066</v>
      </c>
      <c r="B899" s="2" t="s">
        <v>32</v>
      </c>
      <c r="C899" s="2" t="s">
        <v>34</v>
      </c>
      <c r="D899" s="4">
        <v>70000</v>
      </c>
      <c r="E89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899">
        <v>5</v>
      </c>
      <c r="G899" s="2" t="s">
        <v>12</v>
      </c>
      <c r="H899" s="2" t="s">
        <v>27</v>
      </c>
      <c r="I899" t="s">
        <v>14</v>
      </c>
      <c r="J899">
        <v>3</v>
      </c>
      <c r="K899" t="s">
        <v>37</v>
      </c>
      <c r="L899" s="2" t="s">
        <v>30</v>
      </c>
      <c r="M899" s="4">
        <v>60</v>
      </c>
      <c r="N899" s="4" t="str">
        <f>IF(Bike_Data[[#This Row],[Age]]&gt;=54,"Old",IF(Bike_Data[[#This Row],[Age]]&lt;30,"Young Adult","Middle Age"))</f>
        <v>Old</v>
      </c>
      <c r="O899" s="5">
        <f t="shared" ref="O899:O962" ca="1" si="14">RANDBETWEEN(DATE(1971,1,1), DATE(2003,12,31))</f>
        <v>32695</v>
      </c>
      <c r="P899" s="2" t="s">
        <v>14</v>
      </c>
    </row>
    <row r="900" spans="1:16" x14ac:dyDescent="0.25">
      <c r="A900">
        <v>19856</v>
      </c>
      <c r="B900" s="2" t="s">
        <v>31</v>
      </c>
      <c r="C900" s="2" t="s">
        <v>33</v>
      </c>
      <c r="D900" s="4">
        <v>60000</v>
      </c>
      <c r="E90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00">
        <v>4</v>
      </c>
      <c r="G900" s="2" t="s">
        <v>12</v>
      </c>
      <c r="H900" s="2" t="s">
        <v>27</v>
      </c>
      <c r="I900" t="s">
        <v>14</v>
      </c>
      <c r="J900">
        <v>2</v>
      </c>
      <c r="K900" t="s">
        <v>21</v>
      </c>
      <c r="L900" s="2" t="s">
        <v>30</v>
      </c>
      <c r="M900" s="4">
        <v>60</v>
      </c>
      <c r="N900" s="4" t="str">
        <f>IF(Bike_Data[[#This Row],[Age]]&gt;=54,"Old",IF(Bike_Data[[#This Row],[Age]]&lt;30,"Young Adult","Middle Age"))</f>
        <v>Old</v>
      </c>
      <c r="O900" s="5">
        <f t="shared" ca="1" si="14"/>
        <v>29913</v>
      </c>
      <c r="P900" s="2" t="s">
        <v>17</v>
      </c>
    </row>
    <row r="901" spans="1:16" x14ac:dyDescent="0.25">
      <c r="A901">
        <v>23704</v>
      </c>
      <c r="B901" s="2" t="s">
        <v>32</v>
      </c>
      <c r="C901" s="2" t="s">
        <v>34</v>
      </c>
      <c r="D901" s="4">
        <v>40000</v>
      </c>
      <c r="E9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01">
        <v>5</v>
      </c>
      <c r="G901" s="2" t="s">
        <v>26</v>
      </c>
      <c r="H901" s="2" t="s">
        <v>20</v>
      </c>
      <c r="I901" t="s">
        <v>14</v>
      </c>
      <c r="J901">
        <v>4</v>
      </c>
      <c r="K901" t="s">
        <v>37</v>
      </c>
      <c r="L901" s="2" t="s">
        <v>30</v>
      </c>
      <c r="M901" s="4">
        <v>60</v>
      </c>
      <c r="N901" s="4" t="str">
        <f>IF(Bike_Data[[#This Row],[Age]]&gt;=54,"Old",IF(Bike_Data[[#This Row],[Age]]&lt;30,"Young Adult","Middle Age"))</f>
        <v>Old</v>
      </c>
      <c r="O901" s="5">
        <f t="shared" ca="1" si="14"/>
        <v>28257</v>
      </c>
      <c r="P901" s="2" t="s">
        <v>14</v>
      </c>
    </row>
    <row r="902" spans="1:16" x14ac:dyDescent="0.25">
      <c r="A902">
        <v>20567</v>
      </c>
      <c r="B902" s="2" t="s">
        <v>31</v>
      </c>
      <c r="C902" s="2" t="s">
        <v>34</v>
      </c>
      <c r="D902" s="4">
        <v>130000</v>
      </c>
      <c r="E90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02">
        <v>4</v>
      </c>
      <c r="G902" s="2" t="s">
        <v>18</v>
      </c>
      <c r="H902" s="2" t="s">
        <v>20</v>
      </c>
      <c r="I902" t="s">
        <v>17</v>
      </c>
      <c r="J902">
        <v>4</v>
      </c>
      <c r="K902" t="s">
        <v>22</v>
      </c>
      <c r="L902" s="2" t="s">
        <v>16</v>
      </c>
      <c r="M902" s="4">
        <v>61</v>
      </c>
      <c r="N902" s="4" t="str">
        <f>IF(Bike_Data[[#This Row],[Age]]&gt;=54,"Old",IF(Bike_Data[[#This Row],[Age]]&lt;30,"Young Adult","Middle Age"))</f>
        <v>Old</v>
      </c>
      <c r="O902" s="5">
        <f t="shared" ca="1" si="14"/>
        <v>31265</v>
      </c>
      <c r="P902" s="2" t="s">
        <v>14</v>
      </c>
    </row>
    <row r="903" spans="1:16" x14ac:dyDescent="0.25">
      <c r="A903">
        <v>17203</v>
      </c>
      <c r="B903" s="2" t="s">
        <v>31</v>
      </c>
      <c r="C903" s="2" t="s">
        <v>33</v>
      </c>
      <c r="D903" s="4">
        <v>130000</v>
      </c>
      <c r="E90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03">
        <v>4</v>
      </c>
      <c r="G903" s="2" t="s">
        <v>18</v>
      </c>
      <c r="H903" s="2" t="s">
        <v>20</v>
      </c>
      <c r="I903" t="s">
        <v>14</v>
      </c>
      <c r="J903">
        <v>4</v>
      </c>
      <c r="K903" t="s">
        <v>22</v>
      </c>
      <c r="L903" s="2" t="s">
        <v>16</v>
      </c>
      <c r="M903" s="4">
        <v>61</v>
      </c>
      <c r="N903" s="4" t="str">
        <f>IF(Bike_Data[[#This Row],[Age]]&gt;=54,"Old",IF(Bike_Data[[#This Row],[Age]]&lt;30,"Young Adult","Middle Age"))</f>
        <v>Old</v>
      </c>
      <c r="O903" s="5">
        <f t="shared" ca="1" si="14"/>
        <v>26565</v>
      </c>
      <c r="P903" s="2" t="s">
        <v>14</v>
      </c>
    </row>
    <row r="904" spans="1:16" x14ac:dyDescent="0.25">
      <c r="A904">
        <v>18144</v>
      </c>
      <c r="B904" s="2" t="s">
        <v>31</v>
      </c>
      <c r="C904" s="2" t="s">
        <v>33</v>
      </c>
      <c r="D904" s="4">
        <v>80000</v>
      </c>
      <c r="E90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04">
        <v>5</v>
      </c>
      <c r="G904" s="2" t="s">
        <v>12</v>
      </c>
      <c r="H904" s="2" t="s">
        <v>27</v>
      </c>
      <c r="I904" t="s">
        <v>14</v>
      </c>
      <c r="J904">
        <v>2</v>
      </c>
      <c r="K904" t="s">
        <v>21</v>
      </c>
      <c r="L904" s="2" t="s">
        <v>16</v>
      </c>
      <c r="M904" s="4">
        <v>61</v>
      </c>
      <c r="N904" s="4" t="str">
        <f>IF(Bike_Data[[#This Row],[Age]]&gt;=54,"Old",IF(Bike_Data[[#This Row],[Age]]&lt;30,"Young Adult","Middle Age"))</f>
        <v>Old</v>
      </c>
      <c r="O904" s="5">
        <f t="shared" ca="1" si="14"/>
        <v>34385</v>
      </c>
      <c r="P904" s="2" t="s">
        <v>17</v>
      </c>
    </row>
    <row r="905" spans="1:16" x14ac:dyDescent="0.25">
      <c r="A905">
        <v>13353</v>
      </c>
      <c r="B905" s="2" t="s">
        <v>32</v>
      </c>
      <c r="C905" s="2" t="s">
        <v>33</v>
      </c>
      <c r="D905" s="4">
        <v>60000</v>
      </c>
      <c r="E90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05">
        <v>4</v>
      </c>
      <c r="G905" s="2" t="s">
        <v>29</v>
      </c>
      <c r="H905" s="2" t="s">
        <v>27</v>
      </c>
      <c r="I905" t="s">
        <v>14</v>
      </c>
      <c r="J905">
        <v>2</v>
      </c>
      <c r="K905" t="s">
        <v>37</v>
      </c>
      <c r="L905" s="2" t="s">
        <v>30</v>
      </c>
      <c r="M905" s="4">
        <v>61</v>
      </c>
      <c r="N905" s="4" t="str">
        <f>IF(Bike_Data[[#This Row],[Age]]&gt;=54,"Old",IF(Bike_Data[[#This Row],[Age]]&lt;30,"Young Adult","Middle Age"))</f>
        <v>Old</v>
      </c>
      <c r="O905" s="5">
        <f t="shared" ca="1" si="14"/>
        <v>31256</v>
      </c>
      <c r="P905" s="2" t="s">
        <v>14</v>
      </c>
    </row>
    <row r="906" spans="1:16" x14ac:dyDescent="0.25">
      <c r="A906">
        <v>18545</v>
      </c>
      <c r="B906" s="2" t="s">
        <v>31</v>
      </c>
      <c r="C906" s="2" t="s">
        <v>34</v>
      </c>
      <c r="D906" s="4">
        <v>40000</v>
      </c>
      <c r="E90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06">
        <v>4</v>
      </c>
      <c r="G906" s="2" t="s">
        <v>26</v>
      </c>
      <c r="H906" s="2" t="s">
        <v>20</v>
      </c>
      <c r="I906" t="s">
        <v>17</v>
      </c>
      <c r="J906">
        <v>2</v>
      </c>
      <c r="K906" t="s">
        <v>37</v>
      </c>
      <c r="L906" s="2" t="s">
        <v>30</v>
      </c>
      <c r="M906" s="4">
        <v>61</v>
      </c>
      <c r="N906" s="4" t="str">
        <f>IF(Bike_Data[[#This Row],[Age]]&gt;=54,"Old",IF(Bike_Data[[#This Row],[Age]]&lt;30,"Young Adult","Middle Age"))</f>
        <v>Old</v>
      </c>
      <c r="O906" s="5">
        <f t="shared" ca="1" si="14"/>
        <v>32093</v>
      </c>
      <c r="P906" s="2" t="s">
        <v>14</v>
      </c>
    </row>
    <row r="907" spans="1:16" x14ac:dyDescent="0.25">
      <c r="A907">
        <v>20505</v>
      </c>
      <c r="B907" s="2" t="s">
        <v>31</v>
      </c>
      <c r="C907" s="2" t="s">
        <v>33</v>
      </c>
      <c r="D907" s="4">
        <v>40000</v>
      </c>
      <c r="E90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07">
        <v>5</v>
      </c>
      <c r="G907" s="2" t="s">
        <v>26</v>
      </c>
      <c r="H907" s="2" t="s">
        <v>20</v>
      </c>
      <c r="I907" t="s">
        <v>17</v>
      </c>
      <c r="J907">
        <v>2</v>
      </c>
      <c r="K907" t="s">
        <v>37</v>
      </c>
      <c r="L907" s="2" t="s">
        <v>30</v>
      </c>
      <c r="M907" s="4">
        <v>61</v>
      </c>
      <c r="N907" s="4" t="str">
        <f>IF(Bike_Data[[#This Row],[Age]]&gt;=54,"Old",IF(Bike_Data[[#This Row],[Age]]&lt;30,"Young Adult","Middle Age"))</f>
        <v>Old</v>
      </c>
      <c r="O907" s="5">
        <f t="shared" ca="1" si="14"/>
        <v>35373</v>
      </c>
      <c r="P907" s="2" t="s">
        <v>17</v>
      </c>
    </row>
    <row r="908" spans="1:16" x14ac:dyDescent="0.25">
      <c r="A908">
        <v>15749</v>
      </c>
      <c r="B908" s="2" t="s">
        <v>32</v>
      </c>
      <c r="C908" s="2" t="s">
        <v>33</v>
      </c>
      <c r="D908" s="4">
        <v>70000</v>
      </c>
      <c r="E90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08">
        <v>4</v>
      </c>
      <c r="G908" s="2" t="s">
        <v>12</v>
      </c>
      <c r="H908" s="2" t="s">
        <v>27</v>
      </c>
      <c r="I908" t="s">
        <v>14</v>
      </c>
      <c r="J908">
        <v>2</v>
      </c>
      <c r="K908" t="s">
        <v>37</v>
      </c>
      <c r="L908" s="2" t="s">
        <v>30</v>
      </c>
      <c r="M908" s="4">
        <v>61</v>
      </c>
      <c r="N908" s="4" t="str">
        <f>IF(Bike_Data[[#This Row],[Age]]&gt;=54,"Old",IF(Bike_Data[[#This Row],[Age]]&lt;30,"Young Adult","Middle Age"))</f>
        <v>Old</v>
      </c>
      <c r="O908" s="5">
        <f t="shared" ca="1" si="14"/>
        <v>28904</v>
      </c>
      <c r="P908" s="2" t="s">
        <v>17</v>
      </c>
    </row>
    <row r="909" spans="1:16" x14ac:dyDescent="0.25">
      <c r="A909">
        <v>15879</v>
      </c>
      <c r="B909" s="2" t="s">
        <v>31</v>
      </c>
      <c r="C909" s="2" t="s">
        <v>34</v>
      </c>
      <c r="D909" s="4">
        <v>70000</v>
      </c>
      <c r="E90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09">
        <v>5</v>
      </c>
      <c r="G909" s="2" t="s">
        <v>12</v>
      </c>
      <c r="H909" s="2" t="s">
        <v>27</v>
      </c>
      <c r="I909" t="s">
        <v>14</v>
      </c>
      <c r="J909">
        <v>2</v>
      </c>
      <c r="K909" t="s">
        <v>21</v>
      </c>
      <c r="L909" s="2" t="s">
        <v>30</v>
      </c>
      <c r="M909" s="4">
        <v>61</v>
      </c>
      <c r="N909" s="4" t="str">
        <f>IF(Bike_Data[[#This Row],[Age]]&gt;=54,"Old",IF(Bike_Data[[#This Row],[Age]]&lt;30,"Young Adult","Middle Age"))</f>
        <v>Old</v>
      </c>
      <c r="O909" s="5">
        <f t="shared" ca="1" si="14"/>
        <v>37526</v>
      </c>
      <c r="P909" s="2" t="s">
        <v>17</v>
      </c>
    </row>
    <row r="910" spans="1:16" x14ac:dyDescent="0.25">
      <c r="A910">
        <v>21451</v>
      </c>
      <c r="B910" s="2" t="s">
        <v>31</v>
      </c>
      <c r="C910" s="2" t="s">
        <v>33</v>
      </c>
      <c r="D910" s="4">
        <v>40000</v>
      </c>
      <c r="E91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10">
        <v>4</v>
      </c>
      <c r="G910" s="2" t="s">
        <v>26</v>
      </c>
      <c r="H910" s="2" t="s">
        <v>20</v>
      </c>
      <c r="I910" t="s">
        <v>14</v>
      </c>
      <c r="J910">
        <v>2</v>
      </c>
      <c r="K910" t="s">
        <v>37</v>
      </c>
      <c r="L910" s="2" t="s">
        <v>30</v>
      </c>
      <c r="M910" s="4">
        <v>61</v>
      </c>
      <c r="N910" s="4" t="str">
        <f>IF(Bike_Data[[#This Row],[Age]]&gt;=54,"Old",IF(Bike_Data[[#This Row],[Age]]&lt;30,"Young Adult","Middle Age"))</f>
        <v>Old</v>
      </c>
      <c r="O910" s="5">
        <f t="shared" ca="1" si="14"/>
        <v>28169</v>
      </c>
      <c r="P910" s="2" t="s">
        <v>17</v>
      </c>
    </row>
    <row r="911" spans="1:16" x14ac:dyDescent="0.25">
      <c r="A911">
        <v>12291</v>
      </c>
      <c r="B911" s="2" t="s">
        <v>32</v>
      </c>
      <c r="C911" s="2" t="s">
        <v>34</v>
      </c>
      <c r="D911" s="4">
        <v>90000</v>
      </c>
      <c r="E91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11">
        <v>5</v>
      </c>
      <c r="G911" s="2" t="s">
        <v>18</v>
      </c>
      <c r="H911" s="2" t="s">
        <v>20</v>
      </c>
      <c r="I911" t="s">
        <v>17</v>
      </c>
      <c r="J911">
        <v>2</v>
      </c>
      <c r="K911" t="s">
        <v>21</v>
      </c>
      <c r="L911" s="2" t="s">
        <v>16</v>
      </c>
      <c r="M911" s="4">
        <v>62</v>
      </c>
      <c r="N911" s="4" t="str">
        <f>IF(Bike_Data[[#This Row],[Age]]&gt;=54,"Old",IF(Bike_Data[[#This Row],[Age]]&lt;30,"Young Adult","Middle Age"))</f>
        <v>Old</v>
      </c>
      <c r="O911" s="5">
        <f t="shared" ca="1" si="14"/>
        <v>37307</v>
      </c>
      <c r="P911" s="2" t="s">
        <v>14</v>
      </c>
    </row>
    <row r="912" spans="1:16" x14ac:dyDescent="0.25">
      <c r="A912">
        <v>14517</v>
      </c>
      <c r="B912" s="2" t="s">
        <v>31</v>
      </c>
      <c r="C912" s="2" t="s">
        <v>33</v>
      </c>
      <c r="D912" s="4">
        <v>20000</v>
      </c>
      <c r="E91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12">
        <v>3</v>
      </c>
      <c r="G912" s="2" t="s">
        <v>26</v>
      </c>
      <c r="H912" s="2" t="s">
        <v>13</v>
      </c>
      <c r="I912" t="s">
        <v>17</v>
      </c>
      <c r="J912">
        <v>2</v>
      </c>
      <c r="K912" t="s">
        <v>25</v>
      </c>
      <c r="L912" s="2" t="s">
        <v>23</v>
      </c>
      <c r="M912" s="4">
        <v>62</v>
      </c>
      <c r="N912" s="4" t="str">
        <f>IF(Bike_Data[[#This Row],[Age]]&gt;=54,"Old",IF(Bike_Data[[#This Row],[Age]]&lt;30,"Young Adult","Middle Age"))</f>
        <v>Old</v>
      </c>
      <c r="O912" s="5">
        <f t="shared" ca="1" si="14"/>
        <v>26086</v>
      </c>
      <c r="P912" s="2" t="s">
        <v>17</v>
      </c>
    </row>
    <row r="913" spans="1:16" x14ac:dyDescent="0.25">
      <c r="A913">
        <v>17197</v>
      </c>
      <c r="B913" s="2" t="s">
        <v>32</v>
      </c>
      <c r="C913" s="2" t="s">
        <v>33</v>
      </c>
      <c r="D913" s="4">
        <v>90000</v>
      </c>
      <c r="E91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13">
        <v>5</v>
      </c>
      <c r="G913" s="2" t="s">
        <v>18</v>
      </c>
      <c r="H913" s="2" t="s">
        <v>20</v>
      </c>
      <c r="I913" t="s">
        <v>14</v>
      </c>
      <c r="J913">
        <v>2</v>
      </c>
      <c r="K913" t="s">
        <v>37</v>
      </c>
      <c r="L913" s="2" t="s">
        <v>16</v>
      </c>
      <c r="M913" s="4">
        <v>62</v>
      </c>
      <c r="N913" s="4" t="str">
        <f>IF(Bike_Data[[#This Row],[Age]]&gt;=54,"Old",IF(Bike_Data[[#This Row],[Age]]&lt;30,"Young Adult","Middle Age"))</f>
        <v>Old</v>
      </c>
      <c r="O913" s="5">
        <f t="shared" ca="1" si="14"/>
        <v>27868</v>
      </c>
      <c r="P913" s="2" t="s">
        <v>17</v>
      </c>
    </row>
    <row r="914" spans="1:16" x14ac:dyDescent="0.25">
      <c r="A914">
        <v>19914</v>
      </c>
      <c r="B914" s="2" t="s">
        <v>31</v>
      </c>
      <c r="C914" s="2" t="s">
        <v>34</v>
      </c>
      <c r="D914" s="4">
        <v>80000</v>
      </c>
      <c r="E91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14">
        <v>5</v>
      </c>
      <c r="G914" s="2" t="s">
        <v>12</v>
      </c>
      <c r="H914" s="2" t="s">
        <v>27</v>
      </c>
      <c r="I914" t="s">
        <v>14</v>
      </c>
      <c r="J914">
        <v>2</v>
      </c>
      <c r="K914" t="s">
        <v>21</v>
      </c>
      <c r="L914" s="2" t="s">
        <v>16</v>
      </c>
      <c r="M914" s="4">
        <v>62</v>
      </c>
      <c r="N914" s="4" t="str">
        <f>IF(Bike_Data[[#This Row],[Age]]&gt;=54,"Old",IF(Bike_Data[[#This Row],[Age]]&lt;30,"Young Adult","Middle Age"))</f>
        <v>Old</v>
      </c>
      <c r="O914" s="5">
        <f t="shared" ca="1" si="14"/>
        <v>29704</v>
      </c>
      <c r="P914" s="2" t="s">
        <v>17</v>
      </c>
    </row>
    <row r="915" spans="1:16" x14ac:dyDescent="0.25">
      <c r="A915">
        <v>15682</v>
      </c>
      <c r="B915" s="2" t="s">
        <v>32</v>
      </c>
      <c r="C915" s="2" t="s">
        <v>33</v>
      </c>
      <c r="D915" s="4">
        <v>80000</v>
      </c>
      <c r="E91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15">
        <v>5</v>
      </c>
      <c r="G915" s="2" t="s">
        <v>12</v>
      </c>
      <c r="H915" s="2" t="s">
        <v>27</v>
      </c>
      <c r="I915" t="s">
        <v>14</v>
      </c>
      <c r="J915">
        <v>2</v>
      </c>
      <c r="K915" t="s">
        <v>37</v>
      </c>
      <c r="L915" s="2" t="s">
        <v>16</v>
      </c>
      <c r="M915" s="4">
        <v>62</v>
      </c>
      <c r="N915" s="4" t="str">
        <f>IF(Bike_Data[[#This Row],[Age]]&gt;=54,"Old",IF(Bike_Data[[#This Row],[Age]]&lt;30,"Young Adult","Middle Age"))</f>
        <v>Old</v>
      </c>
      <c r="O915" s="5">
        <f t="shared" ca="1" si="14"/>
        <v>33352</v>
      </c>
      <c r="P915" s="2" t="s">
        <v>17</v>
      </c>
    </row>
    <row r="916" spans="1:16" x14ac:dyDescent="0.25">
      <c r="A916">
        <v>11415</v>
      </c>
      <c r="B916" s="2" t="s">
        <v>32</v>
      </c>
      <c r="C916" s="2" t="s">
        <v>34</v>
      </c>
      <c r="D916" s="4">
        <v>90000</v>
      </c>
      <c r="E91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16">
        <v>5</v>
      </c>
      <c r="G916" s="2" t="s">
        <v>18</v>
      </c>
      <c r="H916" s="2" t="s">
        <v>20</v>
      </c>
      <c r="I916" t="s">
        <v>17</v>
      </c>
      <c r="J916">
        <v>2</v>
      </c>
      <c r="K916" t="s">
        <v>37</v>
      </c>
      <c r="L916" s="2" t="s">
        <v>16</v>
      </c>
      <c r="M916" s="4">
        <v>62</v>
      </c>
      <c r="N916" s="4" t="str">
        <f>IF(Bike_Data[[#This Row],[Age]]&gt;=54,"Old",IF(Bike_Data[[#This Row],[Age]]&lt;30,"Young Adult","Middle Age"))</f>
        <v>Old</v>
      </c>
      <c r="O916" s="5">
        <f t="shared" ca="1" si="14"/>
        <v>36341</v>
      </c>
      <c r="P916" s="2" t="s">
        <v>17</v>
      </c>
    </row>
    <row r="917" spans="1:16" x14ac:dyDescent="0.25">
      <c r="A917">
        <v>13981</v>
      </c>
      <c r="B917" s="2" t="s">
        <v>31</v>
      </c>
      <c r="C917" s="2" t="s">
        <v>33</v>
      </c>
      <c r="D917" s="4">
        <v>10000</v>
      </c>
      <c r="E91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17">
        <v>5</v>
      </c>
      <c r="G917" s="2" t="s">
        <v>26</v>
      </c>
      <c r="H917" s="2" t="s">
        <v>13</v>
      </c>
      <c r="I917" t="s">
        <v>17</v>
      </c>
      <c r="J917">
        <v>3</v>
      </c>
      <c r="K917" t="s">
        <v>25</v>
      </c>
      <c r="L917" s="2" t="s">
        <v>23</v>
      </c>
      <c r="M917" s="4">
        <v>62</v>
      </c>
      <c r="N917" s="4" t="str">
        <f>IF(Bike_Data[[#This Row],[Age]]&gt;=54,"Old",IF(Bike_Data[[#This Row],[Age]]&lt;30,"Young Adult","Middle Age"))</f>
        <v>Old</v>
      </c>
      <c r="O917" s="5">
        <f t="shared" ca="1" si="14"/>
        <v>33241</v>
      </c>
      <c r="P917" s="2" t="s">
        <v>17</v>
      </c>
    </row>
    <row r="918" spans="1:16" x14ac:dyDescent="0.25">
      <c r="A918">
        <v>25906</v>
      </c>
      <c r="B918" s="2" t="s">
        <v>32</v>
      </c>
      <c r="C918" s="2" t="s">
        <v>33</v>
      </c>
      <c r="D918" s="4">
        <v>10000</v>
      </c>
      <c r="E91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18">
        <v>5</v>
      </c>
      <c r="G918" s="2" t="s">
        <v>26</v>
      </c>
      <c r="H918" s="2" t="s">
        <v>13</v>
      </c>
      <c r="I918" t="s">
        <v>17</v>
      </c>
      <c r="J918">
        <v>2</v>
      </c>
      <c r="K918" t="s">
        <v>25</v>
      </c>
      <c r="L918" s="2" t="s">
        <v>23</v>
      </c>
      <c r="M918" s="4">
        <v>62</v>
      </c>
      <c r="N918" s="4" t="str">
        <f>IF(Bike_Data[[#This Row],[Age]]&gt;=54,"Old",IF(Bike_Data[[#This Row],[Age]]&lt;30,"Young Adult","Middle Age"))</f>
        <v>Old</v>
      </c>
      <c r="O918" s="5">
        <f t="shared" ca="1" si="14"/>
        <v>27060</v>
      </c>
      <c r="P918" s="2" t="s">
        <v>17</v>
      </c>
    </row>
    <row r="919" spans="1:16" x14ac:dyDescent="0.25">
      <c r="A919">
        <v>26928</v>
      </c>
      <c r="B919" s="2" t="s">
        <v>32</v>
      </c>
      <c r="C919" s="2" t="s">
        <v>34</v>
      </c>
      <c r="D919" s="4">
        <v>30000</v>
      </c>
      <c r="E91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19">
        <v>1</v>
      </c>
      <c r="G919" s="2" t="s">
        <v>12</v>
      </c>
      <c r="H919" s="2" t="s">
        <v>19</v>
      </c>
      <c r="I919" t="s">
        <v>14</v>
      </c>
      <c r="J919">
        <v>0</v>
      </c>
      <c r="K919" t="s">
        <v>15</v>
      </c>
      <c r="L919" s="2" t="s">
        <v>16</v>
      </c>
      <c r="M919" s="4">
        <v>62</v>
      </c>
      <c r="N919" s="4" t="str">
        <f>IF(Bike_Data[[#This Row],[Age]]&gt;=54,"Old",IF(Bike_Data[[#This Row],[Age]]&lt;30,"Young Adult","Middle Age"))</f>
        <v>Old</v>
      </c>
      <c r="O919" s="5">
        <f t="shared" ca="1" si="14"/>
        <v>32426</v>
      </c>
      <c r="P919" s="2" t="s">
        <v>14</v>
      </c>
    </row>
    <row r="920" spans="1:16" x14ac:dyDescent="0.25">
      <c r="A920">
        <v>18976</v>
      </c>
      <c r="B920" s="2" t="s">
        <v>32</v>
      </c>
      <c r="C920" s="2" t="s">
        <v>34</v>
      </c>
      <c r="D920" s="4">
        <v>40000</v>
      </c>
      <c r="E92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20">
        <v>4</v>
      </c>
      <c r="G920" s="2" t="s">
        <v>26</v>
      </c>
      <c r="H920" s="2" t="s">
        <v>20</v>
      </c>
      <c r="I920" t="s">
        <v>14</v>
      </c>
      <c r="J920">
        <v>2</v>
      </c>
      <c r="K920" t="s">
        <v>37</v>
      </c>
      <c r="L920" s="2" t="s">
        <v>30</v>
      </c>
      <c r="M920" s="4">
        <v>62</v>
      </c>
      <c r="N920" s="4" t="str">
        <f>IF(Bike_Data[[#This Row],[Age]]&gt;=54,"Old",IF(Bike_Data[[#This Row],[Age]]&lt;30,"Young Adult","Middle Age"))</f>
        <v>Old</v>
      </c>
      <c r="O920" s="5">
        <f t="shared" ca="1" si="14"/>
        <v>28563</v>
      </c>
      <c r="P920" s="2" t="s">
        <v>14</v>
      </c>
    </row>
    <row r="921" spans="1:16" x14ac:dyDescent="0.25">
      <c r="A921">
        <v>18145</v>
      </c>
      <c r="B921" s="2" t="s">
        <v>31</v>
      </c>
      <c r="C921" s="2" t="s">
        <v>34</v>
      </c>
      <c r="D921" s="4">
        <v>80000</v>
      </c>
      <c r="E92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21">
        <v>5</v>
      </c>
      <c r="G921" s="2" t="s">
        <v>12</v>
      </c>
      <c r="H921" s="2" t="s">
        <v>27</v>
      </c>
      <c r="I921" t="s">
        <v>17</v>
      </c>
      <c r="J921">
        <v>2</v>
      </c>
      <c r="K921" t="s">
        <v>21</v>
      </c>
      <c r="L921" s="2" t="s">
        <v>16</v>
      </c>
      <c r="M921" s="4">
        <v>62</v>
      </c>
      <c r="N921" s="4" t="str">
        <f>IF(Bike_Data[[#This Row],[Age]]&gt;=54,"Old",IF(Bike_Data[[#This Row],[Age]]&lt;30,"Young Adult","Middle Age"))</f>
        <v>Old</v>
      </c>
      <c r="O921" s="5">
        <f t="shared" ca="1" si="14"/>
        <v>35906</v>
      </c>
      <c r="P921" s="2" t="s">
        <v>17</v>
      </c>
    </row>
    <row r="922" spans="1:16" x14ac:dyDescent="0.25">
      <c r="A922">
        <v>13351</v>
      </c>
      <c r="B922" s="2" t="s">
        <v>32</v>
      </c>
      <c r="C922" s="2" t="s">
        <v>33</v>
      </c>
      <c r="D922" s="4">
        <v>70000</v>
      </c>
      <c r="E92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22">
        <v>4</v>
      </c>
      <c r="G922" s="2" t="s">
        <v>12</v>
      </c>
      <c r="H922" s="2" t="s">
        <v>27</v>
      </c>
      <c r="I922" t="s">
        <v>14</v>
      </c>
      <c r="J922">
        <v>2</v>
      </c>
      <c r="K922" t="s">
        <v>25</v>
      </c>
      <c r="L922" s="2" t="s">
        <v>30</v>
      </c>
      <c r="M922" s="4">
        <v>62</v>
      </c>
      <c r="N922" s="4" t="str">
        <f>IF(Bike_Data[[#This Row],[Age]]&gt;=54,"Old",IF(Bike_Data[[#This Row],[Age]]&lt;30,"Young Adult","Middle Age"))</f>
        <v>Old</v>
      </c>
      <c r="O922" s="5">
        <f t="shared" ca="1" si="14"/>
        <v>28711</v>
      </c>
      <c r="P922" s="2" t="s">
        <v>14</v>
      </c>
    </row>
    <row r="923" spans="1:16" x14ac:dyDescent="0.25">
      <c r="A923">
        <v>16651</v>
      </c>
      <c r="B923" s="2" t="s">
        <v>31</v>
      </c>
      <c r="C923" s="2" t="s">
        <v>33</v>
      </c>
      <c r="D923" s="4">
        <v>120000</v>
      </c>
      <c r="E923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23">
        <v>2</v>
      </c>
      <c r="G923" s="2" t="s">
        <v>12</v>
      </c>
      <c r="H923" s="2" t="s">
        <v>27</v>
      </c>
      <c r="I923" t="s">
        <v>14</v>
      </c>
      <c r="J923">
        <v>3</v>
      </c>
      <c r="K923" t="s">
        <v>22</v>
      </c>
      <c r="L923" s="2" t="s">
        <v>30</v>
      </c>
      <c r="M923" s="4">
        <v>62</v>
      </c>
      <c r="N923" s="4" t="str">
        <f>IF(Bike_Data[[#This Row],[Age]]&gt;=54,"Old",IF(Bike_Data[[#This Row],[Age]]&lt;30,"Young Adult","Middle Age"))</f>
        <v>Old</v>
      </c>
      <c r="O923" s="5">
        <f t="shared" ca="1" si="14"/>
        <v>31265</v>
      </c>
      <c r="P923" s="2" t="s">
        <v>17</v>
      </c>
    </row>
    <row r="924" spans="1:16" x14ac:dyDescent="0.25">
      <c r="A924">
        <v>12590</v>
      </c>
      <c r="B924" s="2" t="s">
        <v>32</v>
      </c>
      <c r="C924" s="2" t="s">
        <v>34</v>
      </c>
      <c r="D924" s="4">
        <v>30000</v>
      </c>
      <c r="E92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24">
        <v>1</v>
      </c>
      <c r="G924" s="2" t="s">
        <v>12</v>
      </c>
      <c r="H924" s="2" t="s">
        <v>19</v>
      </c>
      <c r="I924" t="s">
        <v>14</v>
      </c>
      <c r="J924">
        <v>0</v>
      </c>
      <c r="K924" t="s">
        <v>15</v>
      </c>
      <c r="L924" s="2" t="s">
        <v>16</v>
      </c>
      <c r="M924" s="4">
        <v>63</v>
      </c>
      <c r="N924" s="4" t="str">
        <f>IF(Bike_Data[[#This Row],[Age]]&gt;=54,"Old",IF(Bike_Data[[#This Row],[Age]]&lt;30,"Young Adult","Middle Age"))</f>
        <v>Old</v>
      </c>
      <c r="O924" s="5">
        <f t="shared" ca="1" si="14"/>
        <v>35777</v>
      </c>
      <c r="P924" s="2" t="s">
        <v>17</v>
      </c>
    </row>
    <row r="925" spans="1:16" x14ac:dyDescent="0.25">
      <c r="A925">
        <v>19273</v>
      </c>
      <c r="B925" s="2" t="s">
        <v>31</v>
      </c>
      <c r="C925" s="2" t="s">
        <v>33</v>
      </c>
      <c r="D925" s="4">
        <v>20000</v>
      </c>
      <c r="E92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25">
        <v>2</v>
      </c>
      <c r="G925" s="2" t="s">
        <v>18</v>
      </c>
      <c r="H925" s="2" t="s">
        <v>24</v>
      </c>
      <c r="I925" t="s">
        <v>14</v>
      </c>
      <c r="J925">
        <v>0</v>
      </c>
      <c r="K925" t="s">
        <v>15</v>
      </c>
      <c r="L925" s="2" t="s">
        <v>16</v>
      </c>
      <c r="M925" s="4">
        <v>63</v>
      </c>
      <c r="N925" s="4" t="str">
        <f>IF(Bike_Data[[#This Row],[Age]]&gt;=54,"Old",IF(Bike_Data[[#This Row],[Age]]&lt;30,"Young Adult","Middle Age"))</f>
        <v>Old</v>
      </c>
      <c r="O925" s="5">
        <f t="shared" ca="1" si="14"/>
        <v>29865</v>
      </c>
      <c r="P925" s="2" t="s">
        <v>17</v>
      </c>
    </row>
    <row r="926" spans="1:16" x14ac:dyDescent="0.25">
      <c r="A926">
        <v>27745</v>
      </c>
      <c r="B926" s="2" t="s">
        <v>32</v>
      </c>
      <c r="C926" s="2" t="s">
        <v>34</v>
      </c>
      <c r="D926" s="4">
        <v>40000</v>
      </c>
      <c r="E92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26">
        <v>2</v>
      </c>
      <c r="G926" s="2" t="s">
        <v>12</v>
      </c>
      <c r="H926" s="2" t="s">
        <v>27</v>
      </c>
      <c r="I926" t="s">
        <v>14</v>
      </c>
      <c r="J926">
        <v>2</v>
      </c>
      <c r="K926" t="s">
        <v>22</v>
      </c>
      <c r="L926" s="2" t="s">
        <v>23</v>
      </c>
      <c r="M926" s="4">
        <v>63</v>
      </c>
      <c r="N926" s="4" t="str">
        <f>IF(Bike_Data[[#This Row],[Age]]&gt;=54,"Old",IF(Bike_Data[[#This Row],[Age]]&lt;30,"Young Adult","Middle Age"))</f>
        <v>Old</v>
      </c>
      <c r="O926" s="5">
        <f t="shared" ca="1" si="14"/>
        <v>33810</v>
      </c>
      <c r="P926" s="2" t="s">
        <v>14</v>
      </c>
    </row>
    <row r="927" spans="1:16" x14ac:dyDescent="0.25">
      <c r="A927">
        <v>27393</v>
      </c>
      <c r="B927" s="2" t="s">
        <v>31</v>
      </c>
      <c r="C927" s="2" t="s">
        <v>33</v>
      </c>
      <c r="D927" s="4">
        <v>50000</v>
      </c>
      <c r="E92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27">
        <v>4</v>
      </c>
      <c r="G927" s="2" t="s">
        <v>12</v>
      </c>
      <c r="H927" s="2" t="s">
        <v>27</v>
      </c>
      <c r="I927" t="s">
        <v>14</v>
      </c>
      <c r="J927">
        <v>2</v>
      </c>
      <c r="K927" t="s">
        <v>37</v>
      </c>
      <c r="L927" s="2" t="s">
        <v>30</v>
      </c>
      <c r="M927" s="4">
        <v>63</v>
      </c>
      <c r="N927" s="4" t="str">
        <f>IF(Bike_Data[[#This Row],[Age]]&gt;=54,"Old",IF(Bike_Data[[#This Row],[Age]]&lt;30,"Young Adult","Middle Age"))</f>
        <v>Old</v>
      </c>
      <c r="O927" s="5">
        <f t="shared" ca="1" si="14"/>
        <v>30592</v>
      </c>
      <c r="P927" s="2" t="s">
        <v>17</v>
      </c>
    </row>
    <row r="928" spans="1:16" x14ac:dyDescent="0.25">
      <c r="A928">
        <v>21751</v>
      </c>
      <c r="B928" s="2" t="s">
        <v>31</v>
      </c>
      <c r="C928" s="2" t="s">
        <v>34</v>
      </c>
      <c r="D928" s="4">
        <v>60000</v>
      </c>
      <c r="E92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28">
        <v>3</v>
      </c>
      <c r="G928" s="2" t="s">
        <v>29</v>
      </c>
      <c r="H928" s="2" t="s">
        <v>27</v>
      </c>
      <c r="I928" t="s">
        <v>14</v>
      </c>
      <c r="J928">
        <v>2</v>
      </c>
      <c r="K928" t="s">
        <v>25</v>
      </c>
      <c r="L928" s="2" t="s">
        <v>30</v>
      </c>
      <c r="M928" s="4">
        <v>63</v>
      </c>
      <c r="N928" s="4" t="str">
        <f>IF(Bike_Data[[#This Row],[Age]]&gt;=54,"Old",IF(Bike_Data[[#This Row],[Age]]&lt;30,"Young Adult","Middle Age"))</f>
        <v>Old</v>
      </c>
      <c r="O928" s="5">
        <f t="shared" ca="1" si="14"/>
        <v>32312</v>
      </c>
      <c r="P928" s="2" t="s">
        <v>17</v>
      </c>
    </row>
    <row r="929" spans="1:16" x14ac:dyDescent="0.25">
      <c r="A929">
        <v>24643</v>
      </c>
      <c r="B929" s="2" t="s">
        <v>32</v>
      </c>
      <c r="C929" s="2" t="s">
        <v>33</v>
      </c>
      <c r="D929" s="4">
        <v>60000</v>
      </c>
      <c r="E92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29">
        <v>4</v>
      </c>
      <c r="G929" s="2" t="s">
        <v>12</v>
      </c>
      <c r="H929" s="2" t="s">
        <v>27</v>
      </c>
      <c r="I929" t="s">
        <v>14</v>
      </c>
      <c r="J929">
        <v>2</v>
      </c>
      <c r="K929" t="s">
        <v>37</v>
      </c>
      <c r="L929" s="2" t="s">
        <v>30</v>
      </c>
      <c r="M929" s="4">
        <v>63</v>
      </c>
      <c r="N929" s="4" t="str">
        <f>IF(Bike_Data[[#This Row],[Age]]&gt;=54,"Old",IF(Bike_Data[[#This Row],[Age]]&lt;30,"Young Adult","Middle Age"))</f>
        <v>Old</v>
      </c>
      <c r="O929" s="5">
        <f t="shared" ca="1" si="14"/>
        <v>37581</v>
      </c>
      <c r="P929" s="2" t="s">
        <v>17</v>
      </c>
    </row>
    <row r="930" spans="1:16" x14ac:dyDescent="0.25">
      <c r="A930">
        <v>19747</v>
      </c>
      <c r="B930" s="2" t="s">
        <v>31</v>
      </c>
      <c r="C930" s="2" t="s">
        <v>34</v>
      </c>
      <c r="D930" s="4">
        <v>50000</v>
      </c>
      <c r="E93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0">
        <v>4</v>
      </c>
      <c r="G930" s="2" t="s">
        <v>12</v>
      </c>
      <c r="H930" s="2" t="s">
        <v>27</v>
      </c>
      <c r="I930" t="s">
        <v>14</v>
      </c>
      <c r="J930">
        <v>2</v>
      </c>
      <c r="K930" t="s">
        <v>37</v>
      </c>
      <c r="L930" s="2" t="s">
        <v>30</v>
      </c>
      <c r="M930" s="4">
        <v>63</v>
      </c>
      <c r="N930" s="4" t="str">
        <f>IF(Bike_Data[[#This Row],[Age]]&gt;=54,"Old",IF(Bike_Data[[#This Row],[Age]]&lt;30,"Young Adult","Middle Age"))</f>
        <v>Old</v>
      </c>
      <c r="O930" s="5">
        <f t="shared" ca="1" si="14"/>
        <v>31417</v>
      </c>
      <c r="P930" s="2" t="s">
        <v>17</v>
      </c>
    </row>
    <row r="931" spans="1:16" x14ac:dyDescent="0.25">
      <c r="A931">
        <v>13343</v>
      </c>
      <c r="B931" s="2" t="s">
        <v>31</v>
      </c>
      <c r="C931" s="2" t="s">
        <v>33</v>
      </c>
      <c r="D931" s="4">
        <v>90000</v>
      </c>
      <c r="E93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31">
        <v>5</v>
      </c>
      <c r="G931" s="2" t="s">
        <v>12</v>
      </c>
      <c r="H931" s="2" t="s">
        <v>27</v>
      </c>
      <c r="I931" t="s">
        <v>14</v>
      </c>
      <c r="J931">
        <v>2</v>
      </c>
      <c r="K931" t="s">
        <v>25</v>
      </c>
      <c r="L931" s="2" t="s">
        <v>30</v>
      </c>
      <c r="M931" s="4">
        <v>63</v>
      </c>
      <c r="N931" s="4" t="str">
        <f>IF(Bike_Data[[#This Row],[Age]]&gt;=54,"Old",IF(Bike_Data[[#This Row],[Age]]&lt;30,"Young Adult","Middle Age"))</f>
        <v>Old</v>
      </c>
      <c r="O931" s="5">
        <f t="shared" ca="1" si="14"/>
        <v>27190</v>
      </c>
      <c r="P931" s="2" t="s">
        <v>14</v>
      </c>
    </row>
    <row r="932" spans="1:16" x14ac:dyDescent="0.25">
      <c r="A932">
        <v>22730</v>
      </c>
      <c r="B932" s="2" t="s">
        <v>31</v>
      </c>
      <c r="C932" s="2" t="s">
        <v>34</v>
      </c>
      <c r="D932" s="4">
        <v>70000</v>
      </c>
      <c r="E93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32">
        <v>5</v>
      </c>
      <c r="G932" s="2" t="s">
        <v>12</v>
      </c>
      <c r="H932" s="2" t="s">
        <v>27</v>
      </c>
      <c r="I932" t="s">
        <v>14</v>
      </c>
      <c r="J932">
        <v>2</v>
      </c>
      <c r="K932" t="s">
        <v>37</v>
      </c>
      <c r="L932" s="2" t="s">
        <v>30</v>
      </c>
      <c r="M932" s="4">
        <v>63</v>
      </c>
      <c r="N932" s="4" t="str">
        <f>IF(Bike_Data[[#This Row],[Age]]&gt;=54,"Old",IF(Bike_Data[[#This Row],[Age]]&lt;30,"Young Adult","Middle Age"))</f>
        <v>Old</v>
      </c>
      <c r="O932" s="5">
        <f t="shared" ca="1" si="14"/>
        <v>28878</v>
      </c>
      <c r="P932" s="2" t="s">
        <v>17</v>
      </c>
    </row>
    <row r="933" spans="1:16" x14ac:dyDescent="0.25">
      <c r="A933">
        <v>17352</v>
      </c>
      <c r="B933" s="2" t="s">
        <v>31</v>
      </c>
      <c r="C933" s="2" t="s">
        <v>34</v>
      </c>
      <c r="D933" s="4">
        <v>50000</v>
      </c>
      <c r="E93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3">
        <v>2</v>
      </c>
      <c r="G933" s="2" t="s">
        <v>29</v>
      </c>
      <c r="H933" s="2" t="s">
        <v>27</v>
      </c>
      <c r="I933" t="s">
        <v>14</v>
      </c>
      <c r="J933">
        <v>1</v>
      </c>
      <c r="K933" t="s">
        <v>22</v>
      </c>
      <c r="L933" s="2" t="s">
        <v>23</v>
      </c>
      <c r="M933" s="4">
        <v>64</v>
      </c>
      <c r="N933" s="4" t="str">
        <f>IF(Bike_Data[[#This Row],[Age]]&gt;=54,"Old",IF(Bike_Data[[#This Row],[Age]]&lt;30,"Young Adult","Middle Age"))</f>
        <v>Old</v>
      </c>
      <c r="O933" s="5">
        <f t="shared" ca="1" si="14"/>
        <v>27734</v>
      </c>
      <c r="P933" s="2" t="s">
        <v>14</v>
      </c>
    </row>
    <row r="934" spans="1:16" x14ac:dyDescent="0.25">
      <c r="A934">
        <v>20977</v>
      </c>
      <c r="B934" s="2" t="s">
        <v>31</v>
      </c>
      <c r="C934" s="2" t="s">
        <v>34</v>
      </c>
      <c r="D934" s="4">
        <v>20000</v>
      </c>
      <c r="E93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4">
        <v>1</v>
      </c>
      <c r="G934" s="2" t="s">
        <v>12</v>
      </c>
      <c r="H934" s="2" t="s">
        <v>19</v>
      </c>
      <c r="I934" t="s">
        <v>14</v>
      </c>
      <c r="J934">
        <v>0</v>
      </c>
      <c r="K934" t="s">
        <v>15</v>
      </c>
      <c r="L934" s="2" t="s">
        <v>16</v>
      </c>
      <c r="M934" s="4">
        <v>64</v>
      </c>
      <c r="N934" s="4" t="str">
        <f>IF(Bike_Data[[#This Row],[Age]]&gt;=54,"Old",IF(Bike_Data[[#This Row],[Age]]&lt;30,"Young Adult","Middle Age"))</f>
        <v>Old</v>
      </c>
      <c r="O934" s="5">
        <f t="shared" ca="1" si="14"/>
        <v>37514</v>
      </c>
      <c r="P934" s="2" t="s">
        <v>14</v>
      </c>
    </row>
    <row r="935" spans="1:16" x14ac:dyDescent="0.25">
      <c r="A935">
        <v>12568</v>
      </c>
      <c r="B935" s="2" t="s">
        <v>31</v>
      </c>
      <c r="C935" s="2" t="s">
        <v>33</v>
      </c>
      <c r="D935" s="4">
        <v>30000</v>
      </c>
      <c r="E93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5">
        <v>1</v>
      </c>
      <c r="G935" s="2" t="s">
        <v>12</v>
      </c>
      <c r="H935" s="2" t="s">
        <v>19</v>
      </c>
      <c r="I935" t="s">
        <v>14</v>
      </c>
      <c r="J935">
        <v>0</v>
      </c>
      <c r="K935" t="s">
        <v>15</v>
      </c>
      <c r="L935" s="2" t="s">
        <v>16</v>
      </c>
      <c r="M935" s="4">
        <v>64</v>
      </c>
      <c r="N935" s="4" t="str">
        <f>IF(Bike_Data[[#This Row],[Age]]&gt;=54,"Old",IF(Bike_Data[[#This Row],[Age]]&lt;30,"Young Adult","Middle Age"))</f>
        <v>Old</v>
      </c>
      <c r="O935" s="5">
        <f t="shared" ca="1" si="14"/>
        <v>34024</v>
      </c>
      <c r="P935" s="2" t="s">
        <v>17</v>
      </c>
    </row>
    <row r="936" spans="1:16" x14ac:dyDescent="0.25">
      <c r="A936">
        <v>15740</v>
      </c>
      <c r="B936" s="2" t="s">
        <v>31</v>
      </c>
      <c r="C936" s="2" t="s">
        <v>34</v>
      </c>
      <c r="D936" s="4">
        <v>80000</v>
      </c>
      <c r="E93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36">
        <v>5</v>
      </c>
      <c r="G936" s="2" t="s">
        <v>12</v>
      </c>
      <c r="H936" s="2" t="s">
        <v>27</v>
      </c>
      <c r="I936" t="s">
        <v>14</v>
      </c>
      <c r="J936">
        <v>2</v>
      </c>
      <c r="K936" t="s">
        <v>25</v>
      </c>
      <c r="L936" s="2" t="s">
        <v>30</v>
      </c>
      <c r="M936" s="4">
        <v>64</v>
      </c>
      <c r="N936" s="4" t="str">
        <f>IF(Bike_Data[[#This Row],[Age]]&gt;=54,"Old",IF(Bike_Data[[#This Row],[Age]]&lt;30,"Young Adult","Middle Age"))</f>
        <v>Old</v>
      </c>
      <c r="O936" s="5">
        <f t="shared" ca="1" si="14"/>
        <v>30248</v>
      </c>
      <c r="P936" s="2" t="s">
        <v>17</v>
      </c>
    </row>
    <row r="937" spans="1:16" x14ac:dyDescent="0.25">
      <c r="A937">
        <v>24637</v>
      </c>
      <c r="B937" s="2" t="s">
        <v>31</v>
      </c>
      <c r="C937" s="2" t="s">
        <v>34</v>
      </c>
      <c r="D937" s="4">
        <v>40000</v>
      </c>
      <c r="E93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7">
        <v>4</v>
      </c>
      <c r="G937" s="2" t="s">
        <v>26</v>
      </c>
      <c r="H937" s="2" t="s">
        <v>20</v>
      </c>
      <c r="I937" t="s">
        <v>14</v>
      </c>
      <c r="J937">
        <v>2</v>
      </c>
      <c r="K937" t="s">
        <v>37</v>
      </c>
      <c r="L937" s="2" t="s">
        <v>30</v>
      </c>
      <c r="M937" s="4">
        <v>64</v>
      </c>
      <c r="N937" s="4" t="str">
        <f>IF(Bike_Data[[#This Row],[Age]]&gt;=54,"Old",IF(Bike_Data[[#This Row],[Age]]&lt;30,"Young Adult","Middle Age"))</f>
        <v>Old</v>
      </c>
      <c r="O937" s="5">
        <f t="shared" ca="1" si="14"/>
        <v>37476</v>
      </c>
      <c r="P937" s="2" t="s">
        <v>17</v>
      </c>
    </row>
    <row r="938" spans="1:16" x14ac:dyDescent="0.25">
      <c r="A938">
        <v>21441</v>
      </c>
      <c r="B938" s="2" t="s">
        <v>31</v>
      </c>
      <c r="C938" s="2" t="s">
        <v>34</v>
      </c>
      <c r="D938" s="4">
        <v>50000</v>
      </c>
      <c r="E93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38">
        <v>4</v>
      </c>
      <c r="G938" s="2" t="s">
        <v>12</v>
      </c>
      <c r="H938" s="2" t="s">
        <v>27</v>
      </c>
      <c r="I938" t="s">
        <v>14</v>
      </c>
      <c r="J938">
        <v>2</v>
      </c>
      <c r="K938" t="s">
        <v>37</v>
      </c>
      <c r="L938" s="2" t="s">
        <v>30</v>
      </c>
      <c r="M938" s="4">
        <v>64</v>
      </c>
      <c r="N938" s="4" t="str">
        <f>IF(Bike_Data[[#This Row],[Age]]&gt;=54,"Old",IF(Bike_Data[[#This Row],[Age]]&lt;30,"Young Adult","Middle Age"))</f>
        <v>Old</v>
      </c>
      <c r="O938" s="5">
        <f t="shared" ca="1" si="14"/>
        <v>31715</v>
      </c>
      <c r="P938" s="2" t="s">
        <v>17</v>
      </c>
    </row>
    <row r="939" spans="1:16" x14ac:dyDescent="0.25">
      <c r="A939">
        <v>12056</v>
      </c>
      <c r="B939" s="2" t="s">
        <v>31</v>
      </c>
      <c r="C939" s="2" t="s">
        <v>34</v>
      </c>
      <c r="D939" s="4">
        <v>120000</v>
      </c>
      <c r="E939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39">
        <v>2</v>
      </c>
      <c r="G939" s="2" t="s">
        <v>29</v>
      </c>
      <c r="H939" s="2" t="s">
        <v>27</v>
      </c>
      <c r="I939" t="s">
        <v>14</v>
      </c>
      <c r="J939">
        <v>3</v>
      </c>
      <c r="K939" t="s">
        <v>22</v>
      </c>
      <c r="L939" s="2" t="s">
        <v>30</v>
      </c>
      <c r="M939" s="4">
        <v>64</v>
      </c>
      <c r="N939" s="4" t="str">
        <f>IF(Bike_Data[[#This Row],[Age]]&gt;=54,"Old",IF(Bike_Data[[#This Row],[Age]]&lt;30,"Young Adult","Middle Age"))</f>
        <v>Old</v>
      </c>
      <c r="O939" s="5">
        <f t="shared" ca="1" si="14"/>
        <v>30490</v>
      </c>
      <c r="P939" s="2" t="s">
        <v>17</v>
      </c>
    </row>
    <row r="940" spans="1:16" x14ac:dyDescent="0.25">
      <c r="A940">
        <v>20401</v>
      </c>
      <c r="B940" s="2" t="s">
        <v>31</v>
      </c>
      <c r="C940" s="2" t="s">
        <v>33</v>
      </c>
      <c r="D940" s="4">
        <v>50000</v>
      </c>
      <c r="E94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0">
        <v>4</v>
      </c>
      <c r="G940" s="2" t="s">
        <v>12</v>
      </c>
      <c r="H940" s="2" t="s">
        <v>27</v>
      </c>
      <c r="I940" t="s">
        <v>14</v>
      </c>
      <c r="J940">
        <v>2</v>
      </c>
      <c r="K940" t="s">
        <v>25</v>
      </c>
      <c r="L940" s="2" t="s">
        <v>30</v>
      </c>
      <c r="M940" s="4">
        <v>64</v>
      </c>
      <c r="N940" s="4" t="str">
        <f>IF(Bike_Data[[#This Row],[Age]]&gt;=54,"Old",IF(Bike_Data[[#This Row],[Age]]&lt;30,"Young Adult","Middle Age"))</f>
        <v>Old</v>
      </c>
      <c r="O940" s="5">
        <f t="shared" ca="1" si="14"/>
        <v>33225</v>
      </c>
      <c r="P940" s="2" t="s">
        <v>14</v>
      </c>
    </row>
    <row r="941" spans="1:16" x14ac:dyDescent="0.25">
      <c r="A941">
        <v>13337</v>
      </c>
      <c r="B941" s="2" t="s">
        <v>31</v>
      </c>
      <c r="C941" s="2" t="s">
        <v>33</v>
      </c>
      <c r="D941" s="4">
        <v>80000</v>
      </c>
      <c r="E94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41">
        <v>5</v>
      </c>
      <c r="G941" s="2" t="s">
        <v>12</v>
      </c>
      <c r="H941" s="2" t="s">
        <v>27</v>
      </c>
      <c r="I941" t="s">
        <v>14</v>
      </c>
      <c r="J941">
        <v>2</v>
      </c>
      <c r="K941" t="s">
        <v>22</v>
      </c>
      <c r="L941" s="2" t="s">
        <v>30</v>
      </c>
      <c r="M941" s="4">
        <v>64</v>
      </c>
      <c r="N941" s="4" t="str">
        <f>IF(Bike_Data[[#This Row],[Age]]&gt;=54,"Old",IF(Bike_Data[[#This Row],[Age]]&lt;30,"Young Adult","Middle Age"))</f>
        <v>Old</v>
      </c>
      <c r="O941" s="5">
        <f t="shared" ca="1" si="14"/>
        <v>37644</v>
      </c>
      <c r="P941" s="2" t="s">
        <v>17</v>
      </c>
    </row>
    <row r="942" spans="1:16" x14ac:dyDescent="0.25">
      <c r="A942">
        <v>21752</v>
      </c>
      <c r="B942" s="2" t="s">
        <v>31</v>
      </c>
      <c r="C942" s="2" t="s">
        <v>34</v>
      </c>
      <c r="D942" s="4">
        <v>60000</v>
      </c>
      <c r="E94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42">
        <v>3</v>
      </c>
      <c r="G942" s="2" t="s">
        <v>29</v>
      </c>
      <c r="H942" s="2" t="s">
        <v>27</v>
      </c>
      <c r="I942" t="s">
        <v>14</v>
      </c>
      <c r="J942">
        <v>2</v>
      </c>
      <c r="K942" t="s">
        <v>37</v>
      </c>
      <c r="L942" s="2" t="s">
        <v>30</v>
      </c>
      <c r="M942" s="4">
        <v>64</v>
      </c>
      <c r="N942" s="4" t="str">
        <f>IF(Bike_Data[[#This Row],[Age]]&gt;=54,"Old",IF(Bike_Data[[#This Row],[Age]]&lt;30,"Young Adult","Middle Age"))</f>
        <v>Old</v>
      </c>
      <c r="O942" s="5">
        <f t="shared" ca="1" si="14"/>
        <v>28833</v>
      </c>
      <c r="P942" s="2" t="s">
        <v>17</v>
      </c>
    </row>
    <row r="943" spans="1:16" x14ac:dyDescent="0.25">
      <c r="A943">
        <v>14347</v>
      </c>
      <c r="B943" s="2" t="s">
        <v>32</v>
      </c>
      <c r="C943" s="2" t="s">
        <v>33</v>
      </c>
      <c r="D943" s="4">
        <v>40000</v>
      </c>
      <c r="E94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3">
        <v>2</v>
      </c>
      <c r="G943" s="2" t="s">
        <v>12</v>
      </c>
      <c r="H943" s="2" t="s">
        <v>27</v>
      </c>
      <c r="I943" t="s">
        <v>14</v>
      </c>
      <c r="J943">
        <v>2</v>
      </c>
      <c r="K943" t="s">
        <v>22</v>
      </c>
      <c r="L943" s="2" t="s">
        <v>23</v>
      </c>
      <c r="M943" s="4">
        <v>65</v>
      </c>
      <c r="N943" s="4" t="str">
        <f>IF(Bike_Data[[#This Row],[Age]]&gt;=54,"Old",IF(Bike_Data[[#This Row],[Age]]&lt;30,"Young Adult","Middle Age"))</f>
        <v>Old</v>
      </c>
      <c r="O943" s="5">
        <f t="shared" ca="1" si="14"/>
        <v>35186</v>
      </c>
      <c r="P943" s="2" t="s">
        <v>14</v>
      </c>
    </row>
    <row r="944" spans="1:16" x14ac:dyDescent="0.25">
      <c r="A944">
        <v>12558</v>
      </c>
      <c r="B944" s="2" t="s">
        <v>31</v>
      </c>
      <c r="C944" s="2" t="s">
        <v>33</v>
      </c>
      <c r="D944" s="4">
        <v>20000</v>
      </c>
      <c r="E94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4">
        <v>1</v>
      </c>
      <c r="G944" s="2" t="s">
        <v>12</v>
      </c>
      <c r="H944" s="2" t="s">
        <v>19</v>
      </c>
      <c r="I944" t="s">
        <v>14</v>
      </c>
      <c r="J944">
        <v>0</v>
      </c>
      <c r="K944" t="s">
        <v>15</v>
      </c>
      <c r="L944" s="2" t="s">
        <v>16</v>
      </c>
      <c r="M944" s="4">
        <v>65</v>
      </c>
      <c r="N944" s="4" t="str">
        <f>IF(Bike_Data[[#This Row],[Age]]&gt;=54,"Old",IF(Bike_Data[[#This Row],[Age]]&lt;30,"Young Adult","Middle Age"))</f>
        <v>Old</v>
      </c>
      <c r="O944" s="5">
        <f t="shared" ca="1" si="14"/>
        <v>26347</v>
      </c>
      <c r="P944" s="2" t="s">
        <v>17</v>
      </c>
    </row>
    <row r="945" spans="1:16" x14ac:dyDescent="0.25">
      <c r="A945">
        <v>26796</v>
      </c>
      <c r="B945" s="2" t="s">
        <v>32</v>
      </c>
      <c r="C945" s="2" t="s">
        <v>34</v>
      </c>
      <c r="D945" s="4">
        <v>40000</v>
      </c>
      <c r="E94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5">
        <v>2</v>
      </c>
      <c r="G945" s="2" t="s">
        <v>12</v>
      </c>
      <c r="H945" s="2" t="s">
        <v>27</v>
      </c>
      <c r="I945" t="s">
        <v>14</v>
      </c>
      <c r="J945">
        <v>2</v>
      </c>
      <c r="K945" t="s">
        <v>22</v>
      </c>
      <c r="L945" s="2" t="s">
        <v>23</v>
      </c>
      <c r="M945" s="4">
        <v>65</v>
      </c>
      <c r="N945" s="4" t="str">
        <f>IF(Bike_Data[[#This Row],[Age]]&gt;=54,"Old",IF(Bike_Data[[#This Row],[Age]]&lt;30,"Young Adult","Middle Age"))</f>
        <v>Old</v>
      </c>
      <c r="O945" s="5">
        <f t="shared" ca="1" si="14"/>
        <v>30687</v>
      </c>
      <c r="P945" s="2" t="s">
        <v>14</v>
      </c>
    </row>
    <row r="946" spans="1:16" x14ac:dyDescent="0.25">
      <c r="A946">
        <v>25553</v>
      </c>
      <c r="B946" s="2" t="s">
        <v>31</v>
      </c>
      <c r="C946" s="2" t="s">
        <v>34</v>
      </c>
      <c r="D946" s="4">
        <v>30000</v>
      </c>
      <c r="E94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6">
        <v>1</v>
      </c>
      <c r="G946" s="2" t="s">
        <v>12</v>
      </c>
      <c r="H946" s="2" t="s">
        <v>19</v>
      </c>
      <c r="I946" t="s">
        <v>14</v>
      </c>
      <c r="J946">
        <v>0</v>
      </c>
      <c r="K946" t="s">
        <v>15</v>
      </c>
      <c r="L946" s="2" t="s">
        <v>16</v>
      </c>
      <c r="M946" s="4">
        <v>65</v>
      </c>
      <c r="N946" s="4" t="str">
        <f>IF(Bike_Data[[#This Row],[Age]]&gt;=54,"Old",IF(Bike_Data[[#This Row],[Age]]&lt;30,"Young Adult","Middle Age"))</f>
        <v>Old</v>
      </c>
      <c r="O946" s="5">
        <f t="shared" ca="1" si="14"/>
        <v>33796</v>
      </c>
      <c r="P946" s="2" t="s">
        <v>14</v>
      </c>
    </row>
    <row r="947" spans="1:16" x14ac:dyDescent="0.25">
      <c r="A947">
        <v>12236</v>
      </c>
      <c r="B947" s="2" t="s">
        <v>31</v>
      </c>
      <c r="C947" s="2" t="s">
        <v>33</v>
      </c>
      <c r="D947" s="4">
        <v>20000</v>
      </c>
      <c r="E94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7">
        <v>1</v>
      </c>
      <c r="G947" s="2" t="s">
        <v>18</v>
      </c>
      <c r="H947" s="2" t="s">
        <v>24</v>
      </c>
      <c r="I947" t="s">
        <v>14</v>
      </c>
      <c r="J947">
        <v>0</v>
      </c>
      <c r="K947" t="s">
        <v>15</v>
      </c>
      <c r="L947" s="2" t="s">
        <v>16</v>
      </c>
      <c r="M947" s="4">
        <v>65</v>
      </c>
      <c r="N947" s="4" t="str">
        <f>IF(Bike_Data[[#This Row],[Age]]&gt;=54,"Old",IF(Bike_Data[[#This Row],[Age]]&lt;30,"Young Adult","Middle Age"))</f>
        <v>Old</v>
      </c>
      <c r="O947" s="5">
        <f t="shared" ca="1" si="14"/>
        <v>37769</v>
      </c>
      <c r="P947" s="2" t="s">
        <v>17</v>
      </c>
    </row>
    <row r="948" spans="1:16" x14ac:dyDescent="0.25">
      <c r="A948">
        <v>11149</v>
      </c>
      <c r="B948" s="2" t="s">
        <v>31</v>
      </c>
      <c r="C948" s="2" t="s">
        <v>34</v>
      </c>
      <c r="D948" s="4">
        <v>40000</v>
      </c>
      <c r="E94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8">
        <v>2</v>
      </c>
      <c r="G948" s="2" t="s">
        <v>12</v>
      </c>
      <c r="H948" s="2" t="s">
        <v>27</v>
      </c>
      <c r="I948" t="s">
        <v>14</v>
      </c>
      <c r="J948">
        <v>2</v>
      </c>
      <c r="K948" t="s">
        <v>15</v>
      </c>
      <c r="L948" s="2" t="s">
        <v>23</v>
      </c>
      <c r="M948" s="4">
        <v>65</v>
      </c>
      <c r="N948" s="4" t="str">
        <f>IF(Bike_Data[[#This Row],[Age]]&gt;=54,"Old",IF(Bike_Data[[#This Row],[Age]]&lt;30,"Young Adult","Middle Age"))</f>
        <v>Old</v>
      </c>
      <c r="O948" s="5">
        <f t="shared" ca="1" si="14"/>
        <v>36022</v>
      </c>
      <c r="P948" s="2" t="s">
        <v>17</v>
      </c>
    </row>
    <row r="949" spans="1:16" x14ac:dyDescent="0.25">
      <c r="A949">
        <v>20147</v>
      </c>
      <c r="B949" s="2" t="s">
        <v>31</v>
      </c>
      <c r="C949" s="2" t="s">
        <v>33</v>
      </c>
      <c r="D949" s="4">
        <v>30000</v>
      </c>
      <c r="E94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49">
        <v>1</v>
      </c>
      <c r="G949" s="2" t="s">
        <v>12</v>
      </c>
      <c r="H949" s="2" t="s">
        <v>19</v>
      </c>
      <c r="I949" t="s">
        <v>14</v>
      </c>
      <c r="J949">
        <v>0</v>
      </c>
      <c r="K949" t="s">
        <v>15</v>
      </c>
      <c r="L949" s="2" t="s">
        <v>16</v>
      </c>
      <c r="M949" s="4">
        <v>65</v>
      </c>
      <c r="N949" s="4" t="str">
        <f>IF(Bike_Data[[#This Row],[Age]]&gt;=54,"Old",IF(Bike_Data[[#This Row],[Age]]&lt;30,"Young Adult","Middle Age"))</f>
        <v>Old</v>
      </c>
      <c r="O949" s="5">
        <f t="shared" ca="1" si="14"/>
        <v>36895</v>
      </c>
      <c r="P949" s="2" t="s">
        <v>17</v>
      </c>
    </row>
    <row r="950" spans="1:16" x14ac:dyDescent="0.25">
      <c r="A950">
        <v>14507</v>
      </c>
      <c r="B950" s="2" t="s">
        <v>31</v>
      </c>
      <c r="C950" s="2" t="s">
        <v>34</v>
      </c>
      <c r="D950" s="4">
        <v>100000</v>
      </c>
      <c r="E95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50">
        <v>2</v>
      </c>
      <c r="G950" s="2" t="s">
        <v>29</v>
      </c>
      <c r="H950" s="2" t="s">
        <v>27</v>
      </c>
      <c r="I950" t="s">
        <v>14</v>
      </c>
      <c r="J950">
        <v>3</v>
      </c>
      <c r="K950" t="s">
        <v>25</v>
      </c>
      <c r="L950" s="2" t="s">
        <v>30</v>
      </c>
      <c r="M950" s="4">
        <v>65</v>
      </c>
      <c r="N950" s="4" t="str">
        <f>IF(Bike_Data[[#This Row],[Age]]&gt;=54,"Old",IF(Bike_Data[[#This Row],[Age]]&lt;30,"Young Adult","Middle Age"))</f>
        <v>Old</v>
      </c>
      <c r="O950" s="5">
        <f t="shared" ca="1" si="14"/>
        <v>30124</v>
      </c>
      <c r="P950" s="2" t="s">
        <v>17</v>
      </c>
    </row>
    <row r="951" spans="1:16" x14ac:dyDescent="0.25">
      <c r="A951">
        <v>19741</v>
      </c>
      <c r="B951" s="2" t="s">
        <v>32</v>
      </c>
      <c r="C951" s="2" t="s">
        <v>33</v>
      </c>
      <c r="D951" s="4">
        <v>80000</v>
      </c>
      <c r="E95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51">
        <v>4</v>
      </c>
      <c r="G951" s="2" t="s">
        <v>29</v>
      </c>
      <c r="H951" s="2" t="s">
        <v>27</v>
      </c>
      <c r="I951" t="s">
        <v>14</v>
      </c>
      <c r="J951">
        <v>2</v>
      </c>
      <c r="K951" t="s">
        <v>22</v>
      </c>
      <c r="L951" s="2" t="s">
        <v>30</v>
      </c>
      <c r="M951" s="4">
        <v>65</v>
      </c>
      <c r="N951" s="4" t="str">
        <f>IF(Bike_Data[[#This Row],[Age]]&gt;=54,"Old",IF(Bike_Data[[#This Row],[Age]]&lt;30,"Young Adult","Middle Age"))</f>
        <v>Old</v>
      </c>
      <c r="O951" s="5">
        <f t="shared" ca="1" si="14"/>
        <v>26710</v>
      </c>
      <c r="P951" s="2" t="s">
        <v>17</v>
      </c>
    </row>
    <row r="952" spans="1:16" x14ac:dyDescent="0.25">
      <c r="A952">
        <v>23986</v>
      </c>
      <c r="B952" s="2" t="s">
        <v>31</v>
      </c>
      <c r="C952" s="2" t="s">
        <v>33</v>
      </c>
      <c r="D952" s="4">
        <v>20000</v>
      </c>
      <c r="E95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2">
        <v>1</v>
      </c>
      <c r="G952" s="2" t="s">
        <v>12</v>
      </c>
      <c r="H952" s="2" t="s">
        <v>19</v>
      </c>
      <c r="I952" t="s">
        <v>14</v>
      </c>
      <c r="J952">
        <v>0</v>
      </c>
      <c r="K952" t="s">
        <v>15</v>
      </c>
      <c r="L952" s="2" t="s">
        <v>16</v>
      </c>
      <c r="M952" s="4">
        <v>66</v>
      </c>
      <c r="N952" s="4" t="str">
        <f>IF(Bike_Data[[#This Row],[Age]]&gt;=54,"Old",IF(Bike_Data[[#This Row],[Age]]&lt;30,"Young Adult","Middle Age"))</f>
        <v>Old</v>
      </c>
      <c r="O952" s="5">
        <f t="shared" ca="1" si="14"/>
        <v>31065</v>
      </c>
      <c r="P952" s="2" t="s">
        <v>14</v>
      </c>
    </row>
    <row r="953" spans="1:16" x14ac:dyDescent="0.25">
      <c r="A953">
        <v>22988</v>
      </c>
      <c r="B953" s="2" t="s">
        <v>31</v>
      </c>
      <c r="C953" s="2" t="s">
        <v>33</v>
      </c>
      <c r="D953" s="4">
        <v>40000</v>
      </c>
      <c r="E95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3">
        <v>2</v>
      </c>
      <c r="G953" s="2" t="s">
        <v>12</v>
      </c>
      <c r="H953" s="2" t="s">
        <v>27</v>
      </c>
      <c r="I953" t="s">
        <v>14</v>
      </c>
      <c r="J953">
        <v>2</v>
      </c>
      <c r="K953" t="s">
        <v>22</v>
      </c>
      <c r="L953" s="2" t="s">
        <v>23</v>
      </c>
      <c r="M953" s="4">
        <v>66</v>
      </c>
      <c r="N953" s="4" t="str">
        <f>IF(Bike_Data[[#This Row],[Age]]&gt;=54,"Old",IF(Bike_Data[[#This Row],[Age]]&lt;30,"Young Adult","Middle Age"))</f>
        <v>Old</v>
      </c>
      <c r="O953" s="5">
        <f t="shared" ca="1" si="14"/>
        <v>30146</v>
      </c>
      <c r="P953" s="2" t="s">
        <v>14</v>
      </c>
    </row>
    <row r="954" spans="1:16" x14ac:dyDescent="0.25">
      <c r="A954">
        <v>15265</v>
      </c>
      <c r="B954" s="2" t="s">
        <v>32</v>
      </c>
      <c r="C954" s="2" t="s">
        <v>34</v>
      </c>
      <c r="D954" s="4">
        <v>40000</v>
      </c>
      <c r="E954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4">
        <v>2</v>
      </c>
      <c r="G954" s="2" t="s">
        <v>12</v>
      </c>
      <c r="H954" s="2" t="s">
        <v>27</v>
      </c>
      <c r="I954" t="s">
        <v>14</v>
      </c>
      <c r="J954">
        <v>2</v>
      </c>
      <c r="K954" t="s">
        <v>22</v>
      </c>
      <c r="L954" s="2" t="s">
        <v>23</v>
      </c>
      <c r="M954" s="4">
        <v>66</v>
      </c>
      <c r="N954" s="4" t="str">
        <f>IF(Bike_Data[[#This Row],[Age]]&gt;=54,"Old",IF(Bike_Data[[#This Row],[Age]]&lt;30,"Young Adult","Middle Age"))</f>
        <v>Old</v>
      </c>
      <c r="O954" s="5">
        <f t="shared" ca="1" si="14"/>
        <v>34343</v>
      </c>
      <c r="P954" s="2" t="s">
        <v>14</v>
      </c>
    </row>
    <row r="955" spans="1:16" x14ac:dyDescent="0.25">
      <c r="A955">
        <v>20974</v>
      </c>
      <c r="B955" s="2" t="s">
        <v>31</v>
      </c>
      <c r="C955" s="2" t="s">
        <v>34</v>
      </c>
      <c r="D955" s="4">
        <v>10000</v>
      </c>
      <c r="E95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5">
        <v>2</v>
      </c>
      <c r="G955" s="2" t="s">
        <v>12</v>
      </c>
      <c r="H955" s="2" t="s">
        <v>19</v>
      </c>
      <c r="I955" t="s">
        <v>14</v>
      </c>
      <c r="J955">
        <v>1</v>
      </c>
      <c r="K955" t="s">
        <v>15</v>
      </c>
      <c r="L955" s="2" t="s">
        <v>16</v>
      </c>
      <c r="M955" s="4">
        <v>66</v>
      </c>
      <c r="N955" s="4" t="str">
        <f>IF(Bike_Data[[#This Row],[Age]]&gt;=54,"Old",IF(Bike_Data[[#This Row],[Age]]&lt;30,"Young Adult","Middle Age"))</f>
        <v>Old</v>
      </c>
      <c r="O955" s="5">
        <f t="shared" ca="1" si="14"/>
        <v>32484</v>
      </c>
      <c r="P955" s="2" t="s">
        <v>17</v>
      </c>
    </row>
    <row r="956" spans="1:16" x14ac:dyDescent="0.25">
      <c r="A956">
        <v>14554</v>
      </c>
      <c r="B956" s="2" t="s">
        <v>31</v>
      </c>
      <c r="C956" s="2" t="s">
        <v>34</v>
      </c>
      <c r="D956" s="4">
        <v>20000</v>
      </c>
      <c r="E95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6">
        <v>1</v>
      </c>
      <c r="G956" s="2" t="s">
        <v>12</v>
      </c>
      <c r="H956" s="2" t="s">
        <v>19</v>
      </c>
      <c r="I956" t="s">
        <v>14</v>
      </c>
      <c r="J956">
        <v>0</v>
      </c>
      <c r="K956" t="s">
        <v>15</v>
      </c>
      <c r="L956" s="2" t="s">
        <v>16</v>
      </c>
      <c r="M956" s="4">
        <v>66</v>
      </c>
      <c r="N956" s="4" t="str">
        <f>IF(Bike_Data[[#This Row],[Age]]&gt;=54,"Old",IF(Bike_Data[[#This Row],[Age]]&lt;30,"Young Adult","Middle Age"))</f>
        <v>Old</v>
      </c>
      <c r="O956" s="5">
        <f t="shared" ca="1" si="14"/>
        <v>35269</v>
      </c>
      <c r="P956" s="2" t="s">
        <v>17</v>
      </c>
    </row>
    <row r="957" spans="1:16" x14ac:dyDescent="0.25">
      <c r="A957">
        <v>23571</v>
      </c>
      <c r="B957" s="2" t="s">
        <v>31</v>
      </c>
      <c r="C957" s="2" t="s">
        <v>33</v>
      </c>
      <c r="D957" s="4">
        <v>40000</v>
      </c>
      <c r="E95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57">
        <v>2</v>
      </c>
      <c r="G957" s="2" t="s">
        <v>12</v>
      </c>
      <c r="H957" s="2" t="s">
        <v>27</v>
      </c>
      <c r="I957" t="s">
        <v>14</v>
      </c>
      <c r="J957">
        <v>2</v>
      </c>
      <c r="K957" t="s">
        <v>15</v>
      </c>
      <c r="L957" s="2" t="s">
        <v>23</v>
      </c>
      <c r="M957" s="4">
        <v>66</v>
      </c>
      <c r="N957" s="4" t="str">
        <f>IF(Bike_Data[[#This Row],[Age]]&gt;=54,"Old",IF(Bike_Data[[#This Row],[Age]]&lt;30,"Young Adult","Middle Age"))</f>
        <v>Old</v>
      </c>
      <c r="O957" s="5">
        <f t="shared" ca="1" si="14"/>
        <v>37921</v>
      </c>
      <c r="P957" s="2" t="s">
        <v>14</v>
      </c>
    </row>
    <row r="958" spans="1:16" x14ac:dyDescent="0.25">
      <c r="A958">
        <v>12207</v>
      </c>
      <c r="B958" s="2" t="s">
        <v>32</v>
      </c>
      <c r="C958" s="2" t="s">
        <v>34</v>
      </c>
      <c r="D958" s="4">
        <v>80000</v>
      </c>
      <c r="E95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58">
        <v>4</v>
      </c>
      <c r="G958" s="2" t="s">
        <v>12</v>
      </c>
      <c r="H958" s="2" t="s">
        <v>27</v>
      </c>
      <c r="I958" t="s">
        <v>14</v>
      </c>
      <c r="J958">
        <v>0</v>
      </c>
      <c r="K958" t="s">
        <v>22</v>
      </c>
      <c r="L958" s="2" t="s">
        <v>30</v>
      </c>
      <c r="M958" s="4">
        <v>66</v>
      </c>
      <c r="N958" s="4" t="str">
        <f>IF(Bike_Data[[#This Row],[Age]]&gt;=54,"Old",IF(Bike_Data[[#This Row],[Age]]&lt;30,"Young Adult","Middle Age"))</f>
        <v>Old</v>
      </c>
      <c r="O958" s="5">
        <f t="shared" ca="1" si="14"/>
        <v>33381</v>
      </c>
      <c r="P958" s="2" t="s">
        <v>14</v>
      </c>
    </row>
    <row r="959" spans="1:16" x14ac:dyDescent="0.25">
      <c r="A959">
        <v>24941</v>
      </c>
      <c r="B959" s="2" t="s">
        <v>31</v>
      </c>
      <c r="C959" s="2" t="s">
        <v>34</v>
      </c>
      <c r="D959" s="4">
        <v>60000</v>
      </c>
      <c r="E95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59">
        <v>3</v>
      </c>
      <c r="G959" s="2" t="s">
        <v>12</v>
      </c>
      <c r="H959" s="2" t="s">
        <v>27</v>
      </c>
      <c r="I959" t="s">
        <v>14</v>
      </c>
      <c r="J959">
        <v>2</v>
      </c>
      <c r="K959" t="s">
        <v>37</v>
      </c>
      <c r="L959" s="2" t="s">
        <v>30</v>
      </c>
      <c r="M959" s="4">
        <v>66</v>
      </c>
      <c r="N959" s="4" t="str">
        <f>IF(Bike_Data[[#This Row],[Age]]&gt;=54,"Old",IF(Bike_Data[[#This Row],[Age]]&lt;30,"Young Adult","Middle Age"))</f>
        <v>Old</v>
      </c>
      <c r="O959" s="5">
        <f t="shared" ca="1" si="14"/>
        <v>34425</v>
      </c>
      <c r="P959" s="2" t="s">
        <v>17</v>
      </c>
    </row>
    <row r="960" spans="1:16" x14ac:dyDescent="0.25">
      <c r="A960">
        <v>24943</v>
      </c>
      <c r="B960" s="2" t="s">
        <v>31</v>
      </c>
      <c r="C960" s="2" t="s">
        <v>34</v>
      </c>
      <c r="D960" s="4">
        <v>60000</v>
      </c>
      <c r="E96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0">
        <v>3</v>
      </c>
      <c r="G960" s="2" t="s">
        <v>12</v>
      </c>
      <c r="H960" s="2" t="s">
        <v>27</v>
      </c>
      <c r="I960" t="s">
        <v>14</v>
      </c>
      <c r="J960">
        <v>2</v>
      </c>
      <c r="K960" t="s">
        <v>37</v>
      </c>
      <c r="L960" s="2" t="s">
        <v>30</v>
      </c>
      <c r="M960" s="4">
        <v>66</v>
      </c>
      <c r="N960" s="4" t="str">
        <f>IF(Bike_Data[[#This Row],[Age]]&gt;=54,"Old",IF(Bike_Data[[#This Row],[Age]]&lt;30,"Young Adult","Middle Age"))</f>
        <v>Old</v>
      </c>
      <c r="O960" s="5">
        <f t="shared" ca="1" si="14"/>
        <v>28408</v>
      </c>
      <c r="P960" s="2" t="s">
        <v>17</v>
      </c>
    </row>
    <row r="961" spans="1:16" x14ac:dyDescent="0.25">
      <c r="A961">
        <v>27388</v>
      </c>
      <c r="B961" s="2" t="s">
        <v>31</v>
      </c>
      <c r="C961" s="2" t="s">
        <v>34</v>
      </c>
      <c r="D961" s="4">
        <v>60000</v>
      </c>
      <c r="E96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1">
        <v>3</v>
      </c>
      <c r="G961" s="2" t="s">
        <v>12</v>
      </c>
      <c r="H961" s="2" t="s">
        <v>27</v>
      </c>
      <c r="I961" t="s">
        <v>17</v>
      </c>
      <c r="J961">
        <v>2</v>
      </c>
      <c r="K961" t="s">
        <v>25</v>
      </c>
      <c r="L961" s="2" t="s">
        <v>30</v>
      </c>
      <c r="M961" s="4">
        <v>66</v>
      </c>
      <c r="N961" s="4" t="str">
        <f>IF(Bike_Data[[#This Row],[Age]]&gt;=54,"Old",IF(Bike_Data[[#This Row],[Age]]&lt;30,"Young Adult","Middle Age"))</f>
        <v>Old</v>
      </c>
      <c r="O961" s="5">
        <f t="shared" ca="1" si="14"/>
        <v>32114</v>
      </c>
      <c r="P961" s="2" t="s">
        <v>17</v>
      </c>
    </row>
    <row r="962" spans="1:16" x14ac:dyDescent="0.25">
      <c r="A962">
        <v>16009</v>
      </c>
      <c r="B962" s="2" t="s">
        <v>32</v>
      </c>
      <c r="C962" s="2" t="s">
        <v>34</v>
      </c>
      <c r="D962" s="4">
        <v>170000</v>
      </c>
      <c r="E962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62">
        <v>1</v>
      </c>
      <c r="G962" s="2" t="s">
        <v>29</v>
      </c>
      <c r="H962" s="2" t="s">
        <v>27</v>
      </c>
      <c r="I962" t="s">
        <v>17</v>
      </c>
      <c r="J962">
        <v>4</v>
      </c>
      <c r="K962" t="s">
        <v>15</v>
      </c>
      <c r="L962" s="2" t="s">
        <v>30</v>
      </c>
      <c r="M962" s="4">
        <v>66</v>
      </c>
      <c r="N962" s="4" t="str">
        <f>IF(Bike_Data[[#This Row],[Age]]&gt;=54,"Old",IF(Bike_Data[[#This Row],[Age]]&lt;30,"Young Adult","Middle Age"))</f>
        <v>Old</v>
      </c>
      <c r="O962" s="5">
        <f t="shared" ca="1" si="14"/>
        <v>35473</v>
      </c>
      <c r="P962" s="2" t="s">
        <v>17</v>
      </c>
    </row>
    <row r="963" spans="1:16" x14ac:dyDescent="0.25">
      <c r="A963">
        <v>16007</v>
      </c>
      <c r="B963" s="2" t="s">
        <v>31</v>
      </c>
      <c r="C963" s="2" t="s">
        <v>33</v>
      </c>
      <c r="D963" s="4">
        <v>90000</v>
      </c>
      <c r="E96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3">
        <v>5</v>
      </c>
      <c r="G963" s="2" t="s">
        <v>12</v>
      </c>
      <c r="H963" s="2" t="s">
        <v>27</v>
      </c>
      <c r="I963" t="s">
        <v>14</v>
      </c>
      <c r="J963">
        <v>2</v>
      </c>
      <c r="K963" t="s">
        <v>25</v>
      </c>
      <c r="L963" s="2" t="s">
        <v>30</v>
      </c>
      <c r="M963" s="4">
        <v>66</v>
      </c>
      <c r="N963" s="4" t="str">
        <f>IF(Bike_Data[[#This Row],[Age]]&gt;=54,"Old",IF(Bike_Data[[#This Row],[Age]]&lt;30,"Young Adult","Middle Age"))</f>
        <v>Old</v>
      </c>
      <c r="O963" s="5">
        <f t="shared" ref="O963:O1001" ca="1" si="15">RANDBETWEEN(DATE(1971,1,1), DATE(2003,12,31))</f>
        <v>33092</v>
      </c>
      <c r="P963" s="2" t="s">
        <v>14</v>
      </c>
    </row>
    <row r="964" spans="1:16" x14ac:dyDescent="0.25">
      <c r="A964">
        <v>28004</v>
      </c>
      <c r="B964" s="2" t="s">
        <v>31</v>
      </c>
      <c r="C964" s="2" t="s">
        <v>33</v>
      </c>
      <c r="D964" s="4">
        <v>60000</v>
      </c>
      <c r="E96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4">
        <v>3</v>
      </c>
      <c r="G964" s="2" t="s">
        <v>12</v>
      </c>
      <c r="H964" s="2" t="s">
        <v>27</v>
      </c>
      <c r="I964" t="s">
        <v>14</v>
      </c>
      <c r="J964">
        <v>2</v>
      </c>
      <c r="K964" t="s">
        <v>37</v>
      </c>
      <c r="L964" s="2" t="s">
        <v>30</v>
      </c>
      <c r="M964" s="4">
        <v>66</v>
      </c>
      <c r="N964" s="4" t="str">
        <f>IF(Bike_Data[[#This Row],[Age]]&gt;=54,"Old",IF(Bike_Data[[#This Row],[Age]]&lt;30,"Young Adult","Middle Age"))</f>
        <v>Old</v>
      </c>
      <c r="O964" s="5">
        <f t="shared" ca="1" si="15"/>
        <v>29210</v>
      </c>
      <c r="P964" s="2" t="s">
        <v>17</v>
      </c>
    </row>
    <row r="965" spans="1:16" x14ac:dyDescent="0.25">
      <c r="A965">
        <v>28972</v>
      </c>
      <c r="B965" s="2" t="s">
        <v>32</v>
      </c>
      <c r="C965" s="2" t="s">
        <v>33</v>
      </c>
      <c r="D965" s="4">
        <v>60000</v>
      </c>
      <c r="E96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5">
        <v>3</v>
      </c>
      <c r="G965" s="2" t="s">
        <v>29</v>
      </c>
      <c r="H965" s="2" t="s">
        <v>27</v>
      </c>
      <c r="I965" t="s">
        <v>14</v>
      </c>
      <c r="J965">
        <v>2</v>
      </c>
      <c r="K965" t="s">
        <v>37</v>
      </c>
      <c r="L965" s="2" t="s">
        <v>30</v>
      </c>
      <c r="M965" s="4">
        <v>66</v>
      </c>
      <c r="N965" s="4" t="str">
        <f>IF(Bike_Data[[#This Row],[Age]]&gt;=54,"Old",IF(Bike_Data[[#This Row],[Age]]&lt;30,"Young Adult","Middle Age"))</f>
        <v>Old</v>
      </c>
      <c r="O965" s="5">
        <f t="shared" ca="1" si="15"/>
        <v>34955</v>
      </c>
      <c r="P965" s="2" t="s">
        <v>17</v>
      </c>
    </row>
    <row r="966" spans="1:16" x14ac:dyDescent="0.25">
      <c r="A966">
        <v>11147</v>
      </c>
      <c r="B966" s="2" t="s">
        <v>31</v>
      </c>
      <c r="C966" s="2" t="s">
        <v>34</v>
      </c>
      <c r="D966" s="4">
        <v>60000</v>
      </c>
      <c r="E96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66">
        <v>2</v>
      </c>
      <c r="G966" s="2" t="s">
        <v>29</v>
      </c>
      <c r="H966" s="2" t="s">
        <v>27</v>
      </c>
      <c r="I966" t="s">
        <v>14</v>
      </c>
      <c r="J966">
        <v>1</v>
      </c>
      <c r="K966" t="s">
        <v>15</v>
      </c>
      <c r="L966" s="2" t="s">
        <v>23</v>
      </c>
      <c r="M966" s="4">
        <v>67</v>
      </c>
      <c r="N966" s="4" t="str">
        <f>IF(Bike_Data[[#This Row],[Age]]&gt;=54,"Old",IF(Bike_Data[[#This Row],[Age]]&lt;30,"Young Adult","Middle Age"))</f>
        <v>Old</v>
      </c>
      <c r="O966" s="5">
        <f t="shared" ca="1" si="15"/>
        <v>36712</v>
      </c>
      <c r="P966" s="2" t="s">
        <v>14</v>
      </c>
    </row>
    <row r="967" spans="1:16" x14ac:dyDescent="0.25">
      <c r="A967">
        <v>19650</v>
      </c>
      <c r="B967" s="2" t="s">
        <v>31</v>
      </c>
      <c r="C967" s="2" t="s">
        <v>33</v>
      </c>
      <c r="D967" s="4">
        <v>30000</v>
      </c>
      <c r="E96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67">
        <v>2</v>
      </c>
      <c r="G967" s="2" t="s">
        <v>18</v>
      </c>
      <c r="H967" s="2" t="s">
        <v>19</v>
      </c>
      <c r="I967" t="s">
        <v>17</v>
      </c>
      <c r="J967">
        <v>2</v>
      </c>
      <c r="K967" t="s">
        <v>15</v>
      </c>
      <c r="L967" s="2" t="s">
        <v>23</v>
      </c>
      <c r="M967" s="4">
        <v>67</v>
      </c>
      <c r="N967" s="4" t="str">
        <f>IF(Bike_Data[[#This Row],[Age]]&gt;=54,"Old",IF(Bike_Data[[#This Row],[Age]]&lt;30,"Young Adult","Middle Age"))</f>
        <v>Old</v>
      </c>
      <c r="O967" s="5">
        <f t="shared" ca="1" si="15"/>
        <v>26875</v>
      </c>
      <c r="P967" s="2" t="s">
        <v>17</v>
      </c>
    </row>
    <row r="968" spans="1:16" x14ac:dyDescent="0.25">
      <c r="A968">
        <v>25266</v>
      </c>
      <c r="B968" s="2" t="s">
        <v>32</v>
      </c>
      <c r="C968" s="2" t="s">
        <v>33</v>
      </c>
      <c r="D968" s="4">
        <v>30000</v>
      </c>
      <c r="E96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68">
        <v>2</v>
      </c>
      <c r="G968" s="2" t="s">
        <v>18</v>
      </c>
      <c r="H968" s="2" t="s">
        <v>19</v>
      </c>
      <c r="I968" t="s">
        <v>17</v>
      </c>
      <c r="J968">
        <v>2</v>
      </c>
      <c r="K968" t="s">
        <v>22</v>
      </c>
      <c r="L968" s="2" t="s">
        <v>23</v>
      </c>
      <c r="M968" s="4">
        <v>67</v>
      </c>
      <c r="N968" s="4" t="str">
        <f>IF(Bike_Data[[#This Row],[Age]]&gt;=54,"Old",IF(Bike_Data[[#This Row],[Age]]&lt;30,"Young Adult","Middle Age"))</f>
        <v>Old</v>
      </c>
      <c r="O968" s="5">
        <f t="shared" ca="1" si="15"/>
        <v>36966</v>
      </c>
      <c r="P968" s="2" t="s">
        <v>17</v>
      </c>
    </row>
    <row r="969" spans="1:16" x14ac:dyDescent="0.25">
      <c r="A969">
        <v>11139</v>
      </c>
      <c r="B969" s="2" t="s">
        <v>32</v>
      </c>
      <c r="C969" s="2" t="s">
        <v>33</v>
      </c>
      <c r="D969" s="4">
        <v>30000</v>
      </c>
      <c r="E96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69">
        <v>2</v>
      </c>
      <c r="G969" s="2" t="s">
        <v>18</v>
      </c>
      <c r="H969" s="2" t="s">
        <v>19</v>
      </c>
      <c r="I969" t="s">
        <v>17</v>
      </c>
      <c r="J969">
        <v>2</v>
      </c>
      <c r="K969" t="s">
        <v>22</v>
      </c>
      <c r="L969" s="2" t="s">
        <v>23</v>
      </c>
      <c r="M969" s="4">
        <v>67</v>
      </c>
      <c r="N969" s="4" t="str">
        <f>IF(Bike_Data[[#This Row],[Age]]&gt;=54,"Old",IF(Bike_Data[[#This Row],[Age]]&lt;30,"Young Adult","Middle Age"))</f>
        <v>Old</v>
      </c>
      <c r="O969" s="5">
        <f t="shared" ca="1" si="15"/>
        <v>28006</v>
      </c>
      <c r="P969" s="2" t="s">
        <v>17</v>
      </c>
    </row>
    <row r="970" spans="1:16" x14ac:dyDescent="0.25">
      <c r="A970">
        <v>15822</v>
      </c>
      <c r="B970" s="2" t="s">
        <v>31</v>
      </c>
      <c r="C970" s="2" t="s">
        <v>34</v>
      </c>
      <c r="D970" s="4">
        <v>40000</v>
      </c>
      <c r="E97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70">
        <v>2</v>
      </c>
      <c r="G970" s="2" t="s">
        <v>12</v>
      </c>
      <c r="H970" s="2" t="s">
        <v>27</v>
      </c>
      <c r="I970" t="s">
        <v>14</v>
      </c>
      <c r="J970">
        <v>2</v>
      </c>
      <c r="K970" t="s">
        <v>15</v>
      </c>
      <c r="L970" s="2" t="s">
        <v>23</v>
      </c>
      <c r="M970" s="4">
        <v>67</v>
      </c>
      <c r="N970" s="4" t="str">
        <f>IF(Bike_Data[[#This Row],[Age]]&gt;=54,"Old",IF(Bike_Data[[#This Row],[Age]]&lt;30,"Young Adult","Middle Age"))</f>
        <v>Old</v>
      </c>
      <c r="O970" s="5">
        <f t="shared" ca="1" si="15"/>
        <v>33404</v>
      </c>
      <c r="P970" s="2" t="s">
        <v>17</v>
      </c>
    </row>
    <row r="971" spans="1:16" x14ac:dyDescent="0.25">
      <c r="A971">
        <v>17471</v>
      </c>
      <c r="B971" s="2" t="s">
        <v>32</v>
      </c>
      <c r="C971" s="2" t="s">
        <v>33</v>
      </c>
      <c r="D971" s="4">
        <v>80000</v>
      </c>
      <c r="E971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71">
        <v>4</v>
      </c>
      <c r="G971" s="2" t="s">
        <v>29</v>
      </c>
      <c r="H971" s="2" t="s">
        <v>27</v>
      </c>
      <c r="I971" t="s">
        <v>14</v>
      </c>
      <c r="J971">
        <v>2</v>
      </c>
      <c r="K971" t="s">
        <v>22</v>
      </c>
      <c r="L971" s="2" t="s">
        <v>30</v>
      </c>
      <c r="M971" s="4">
        <v>67</v>
      </c>
      <c r="N971" s="4" t="str">
        <f>IF(Bike_Data[[#This Row],[Age]]&gt;=54,"Old",IF(Bike_Data[[#This Row],[Age]]&lt;30,"Young Adult","Middle Age"))</f>
        <v>Old</v>
      </c>
      <c r="O971" s="5">
        <f t="shared" ca="1" si="15"/>
        <v>34478</v>
      </c>
      <c r="P971" s="2" t="s">
        <v>17</v>
      </c>
    </row>
    <row r="972" spans="1:16" x14ac:dyDescent="0.25">
      <c r="A972">
        <v>22127</v>
      </c>
      <c r="B972" s="2" t="s">
        <v>31</v>
      </c>
      <c r="C972" s="2" t="s">
        <v>34</v>
      </c>
      <c r="D972" s="4">
        <v>60000</v>
      </c>
      <c r="E97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72">
        <v>3</v>
      </c>
      <c r="G972" s="2" t="s">
        <v>29</v>
      </c>
      <c r="H972" s="2" t="s">
        <v>27</v>
      </c>
      <c r="I972" t="s">
        <v>14</v>
      </c>
      <c r="J972">
        <v>2</v>
      </c>
      <c r="K972" t="s">
        <v>25</v>
      </c>
      <c r="L972" s="2" t="s">
        <v>30</v>
      </c>
      <c r="M972" s="4">
        <v>67</v>
      </c>
      <c r="N972" s="4" t="str">
        <f>IF(Bike_Data[[#This Row],[Age]]&gt;=54,"Old",IF(Bike_Data[[#This Row],[Age]]&lt;30,"Young Adult","Middle Age"))</f>
        <v>Old</v>
      </c>
      <c r="O972" s="5">
        <f t="shared" ca="1" si="15"/>
        <v>30772</v>
      </c>
      <c r="P972" s="2" t="s">
        <v>17</v>
      </c>
    </row>
    <row r="973" spans="1:16" x14ac:dyDescent="0.25">
      <c r="A973">
        <v>23672</v>
      </c>
      <c r="B973" s="2" t="s">
        <v>31</v>
      </c>
      <c r="C973" s="2" t="s">
        <v>33</v>
      </c>
      <c r="D973" s="4">
        <v>60000</v>
      </c>
      <c r="E97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73">
        <v>3</v>
      </c>
      <c r="G973" s="2" t="s">
        <v>29</v>
      </c>
      <c r="H973" s="2" t="s">
        <v>27</v>
      </c>
      <c r="I973" t="s">
        <v>14</v>
      </c>
      <c r="J973">
        <v>2</v>
      </c>
      <c r="K973" t="s">
        <v>25</v>
      </c>
      <c r="L973" s="2" t="s">
        <v>30</v>
      </c>
      <c r="M973" s="4">
        <v>67</v>
      </c>
      <c r="N973" s="4" t="str">
        <f>IF(Bike_Data[[#This Row],[Age]]&gt;=54,"Old",IF(Bike_Data[[#This Row],[Age]]&lt;30,"Young Adult","Middle Age"))</f>
        <v>Old</v>
      </c>
      <c r="O973" s="5">
        <f t="shared" ca="1" si="15"/>
        <v>31228</v>
      </c>
      <c r="P973" s="2" t="s">
        <v>17</v>
      </c>
    </row>
    <row r="974" spans="1:16" x14ac:dyDescent="0.25">
      <c r="A974">
        <v>18435</v>
      </c>
      <c r="B974" s="2" t="s">
        <v>32</v>
      </c>
      <c r="C974" s="2" t="s">
        <v>33</v>
      </c>
      <c r="D974" s="4">
        <v>70000</v>
      </c>
      <c r="E97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74">
        <v>5</v>
      </c>
      <c r="G974" s="2" t="s">
        <v>29</v>
      </c>
      <c r="H974" s="2" t="s">
        <v>27</v>
      </c>
      <c r="I974" t="s">
        <v>14</v>
      </c>
      <c r="J974">
        <v>2</v>
      </c>
      <c r="K974" t="s">
        <v>37</v>
      </c>
      <c r="L974" s="2" t="s">
        <v>30</v>
      </c>
      <c r="M974" s="4">
        <v>67</v>
      </c>
      <c r="N974" s="4" t="str">
        <f>IF(Bike_Data[[#This Row],[Age]]&gt;=54,"Old",IF(Bike_Data[[#This Row],[Age]]&lt;30,"Young Adult","Middle Age"))</f>
        <v>Old</v>
      </c>
      <c r="O974" s="5">
        <f t="shared" ca="1" si="15"/>
        <v>36563</v>
      </c>
      <c r="P974" s="2" t="s">
        <v>14</v>
      </c>
    </row>
    <row r="975" spans="1:16" x14ac:dyDescent="0.25">
      <c r="A975">
        <v>12205</v>
      </c>
      <c r="B975" s="2" t="s">
        <v>32</v>
      </c>
      <c r="C975" s="2" t="s">
        <v>33</v>
      </c>
      <c r="D975" s="4">
        <v>130000</v>
      </c>
      <c r="E975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75">
        <v>2</v>
      </c>
      <c r="G975" s="2" t="s">
        <v>12</v>
      </c>
      <c r="H975" s="2" t="s">
        <v>27</v>
      </c>
      <c r="I975" t="s">
        <v>17</v>
      </c>
      <c r="J975">
        <v>4</v>
      </c>
      <c r="K975" t="s">
        <v>15</v>
      </c>
      <c r="L975" s="2" t="s">
        <v>30</v>
      </c>
      <c r="M975" s="4">
        <v>67</v>
      </c>
      <c r="N975" s="4" t="str">
        <f>IF(Bike_Data[[#This Row],[Age]]&gt;=54,"Old",IF(Bike_Data[[#This Row],[Age]]&lt;30,"Young Adult","Middle Age"))</f>
        <v>Old</v>
      </c>
      <c r="O975" s="5">
        <f t="shared" ca="1" si="15"/>
        <v>32685</v>
      </c>
      <c r="P975" s="2" t="s">
        <v>17</v>
      </c>
    </row>
    <row r="976" spans="1:16" x14ac:dyDescent="0.25">
      <c r="A976">
        <v>29337</v>
      </c>
      <c r="B976" s="2" t="s">
        <v>32</v>
      </c>
      <c r="C976" s="2" t="s">
        <v>34</v>
      </c>
      <c r="D976" s="4">
        <v>30000</v>
      </c>
      <c r="E97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76">
        <v>2</v>
      </c>
      <c r="G976" s="2" t="s">
        <v>18</v>
      </c>
      <c r="H976" s="2" t="s">
        <v>19</v>
      </c>
      <c r="I976" t="s">
        <v>14</v>
      </c>
      <c r="J976">
        <v>2</v>
      </c>
      <c r="K976" t="s">
        <v>22</v>
      </c>
      <c r="L976" s="2" t="s">
        <v>23</v>
      </c>
      <c r="M976" s="4">
        <v>68</v>
      </c>
      <c r="N976" s="4" t="str">
        <f>IF(Bike_Data[[#This Row],[Age]]&gt;=54,"Old",IF(Bike_Data[[#This Row],[Age]]&lt;30,"Young Adult","Middle Age"))</f>
        <v>Old</v>
      </c>
      <c r="O976" s="5">
        <f t="shared" ca="1" si="15"/>
        <v>37431</v>
      </c>
      <c r="P976" s="2" t="s">
        <v>17</v>
      </c>
    </row>
    <row r="977" spans="1:16" x14ac:dyDescent="0.25">
      <c r="A977">
        <v>29447</v>
      </c>
      <c r="B977" s="2" t="s">
        <v>32</v>
      </c>
      <c r="C977" s="2" t="s">
        <v>33</v>
      </c>
      <c r="D977" s="4">
        <v>10000</v>
      </c>
      <c r="E97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77">
        <v>2</v>
      </c>
      <c r="G977" s="2" t="s">
        <v>12</v>
      </c>
      <c r="H977" s="2" t="s">
        <v>19</v>
      </c>
      <c r="I977" t="s">
        <v>17</v>
      </c>
      <c r="J977">
        <v>1</v>
      </c>
      <c r="K977" t="s">
        <v>21</v>
      </c>
      <c r="L977" s="2" t="s">
        <v>16</v>
      </c>
      <c r="M977" s="4">
        <v>68</v>
      </c>
      <c r="N977" s="4" t="str">
        <f>IF(Bike_Data[[#This Row],[Age]]&gt;=54,"Old",IF(Bike_Data[[#This Row],[Age]]&lt;30,"Young Adult","Middle Age"))</f>
        <v>Old</v>
      </c>
      <c r="O977" s="5">
        <f t="shared" ca="1" si="15"/>
        <v>31055</v>
      </c>
      <c r="P977" s="2" t="s">
        <v>17</v>
      </c>
    </row>
    <row r="978" spans="1:16" x14ac:dyDescent="0.25">
      <c r="A978">
        <v>19731</v>
      </c>
      <c r="B978" s="2" t="s">
        <v>31</v>
      </c>
      <c r="C978" s="2" t="s">
        <v>34</v>
      </c>
      <c r="D978" s="4">
        <v>80000</v>
      </c>
      <c r="E97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78">
        <v>4</v>
      </c>
      <c r="G978" s="2" t="s">
        <v>29</v>
      </c>
      <c r="H978" s="2" t="s">
        <v>27</v>
      </c>
      <c r="I978" t="s">
        <v>14</v>
      </c>
      <c r="J978">
        <v>2</v>
      </c>
      <c r="K978" t="s">
        <v>22</v>
      </c>
      <c r="L978" s="2" t="s">
        <v>30</v>
      </c>
      <c r="M978" s="4">
        <v>68</v>
      </c>
      <c r="N978" s="4" t="str">
        <f>IF(Bike_Data[[#This Row],[Age]]&gt;=54,"Old",IF(Bike_Data[[#This Row],[Age]]&lt;30,"Young Adult","Middle Age"))</f>
        <v>Old</v>
      </c>
      <c r="O978" s="5">
        <f t="shared" ca="1" si="15"/>
        <v>31392</v>
      </c>
      <c r="P978" s="2" t="s">
        <v>17</v>
      </c>
    </row>
    <row r="979" spans="1:16" x14ac:dyDescent="0.25">
      <c r="A979">
        <v>13136</v>
      </c>
      <c r="B979" s="2" t="s">
        <v>31</v>
      </c>
      <c r="C979" s="2" t="s">
        <v>33</v>
      </c>
      <c r="D979" s="4">
        <v>30000</v>
      </c>
      <c r="E97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79">
        <v>2</v>
      </c>
      <c r="G979" s="2" t="s">
        <v>18</v>
      </c>
      <c r="H979" s="2" t="s">
        <v>19</v>
      </c>
      <c r="I979" t="s">
        <v>17</v>
      </c>
      <c r="J979">
        <v>2</v>
      </c>
      <c r="K979" t="s">
        <v>22</v>
      </c>
      <c r="L979" s="2" t="s">
        <v>23</v>
      </c>
      <c r="M979" s="4">
        <v>69</v>
      </c>
      <c r="N979" s="4" t="str">
        <f>IF(Bike_Data[[#This Row],[Age]]&gt;=54,"Old",IF(Bike_Data[[#This Row],[Age]]&lt;30,"Young Adult","Middle Age"))</f>
        <v>Old</v>
      </c>
      <c r="O979" s="5">
        <f t="shared" ca="1" si="15"/>
        <v>31283</v>
      </c>
      <c r="P979" s="2" t="s">
        <v>17</v>
      </c>
    </row>
    <row r="980" spans="1:16" x14ac:dyDescent="0.25">
      <c r="A980">
        <v>22974</v>
      </c>
      <c r="B980" s="2" t="s">
        <v>31</v>
      </c>
      <c r="C980" s="2" t="s">
        <v>33</v>
      </c>
      <c r="D980" s="4">
        <v>30000</v>
      </c>
      <c r="E98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0">
        <v>2</v>
      </c>
      <c r="G980" s="2" t="s">
        <v>18</v>
      </c>
      <c r="H980" s="2" t="s">
        <v>19</v>
      </c>
      <c r="I980" t="s">
        <v>14</v>
      </c>
      <c r="J980">
        <v>2</v>
      </c>
      <c r="K980" t="s">
        <v>22</v>
      </c>
      <c r="L980" s="2" t="s">
        <v>23</v>
      </c>
      <c r="M980" s="4">
        <v>69</v>
      </c>
      <c r="N980" s="4" t="str">
        <f>IF(Bike_Data[[#This Row],[Age]]&gt;=54,"Old",IF(Bike_Data[[#This Row],[Age]]&lt;30,"Young Adult","Middle Age"))</f>
        <v>Old</v>
      </c>
      <c r="O980" s="5">
        <f t="shared" ca="1" si="15"/>
        <v>33132</v>
      </c>
      <c r="P980" s="2" t="s">
        <v>17</v>
      </c>
    </row>
    <row r="981" spans="1:16" x14ac:dyDescent="0.25">
      <c r="A981">
        <v>20277</v>
      </c>
      <c r="B981" s="2" t="s">
        <v>31</v>
      </c>
      <c r="C981" s="2" t="s">
        <v>33</v>
      </c>
      <c r="D981" s="4">
        <v>30000</v>
      </c>
      <c r="E98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1">
        <v>2</v>
      </c>
      <c r="G981" s="2" t="s">
        <v>18</v>
      </c>
      <c r="H981" s="2" t="s">
        <v>19</v>
      </c>
      <c r="I981" t="s">
        <v>17</v>
      </c>
      <c r="J981">
        <v>2</v>
      </c>
      <c r="K981" t="s">
        <v>15</v>
      </c>
      <c r="L981" s="2" t="s">
        <v>23</v>
      </c>
      <c r="M981" s="4">
        <v>69</v>
      </c>
      <c r="N981" s="4" t="str">
        <f>IF(Bike_Data[[#This Row],[Age]]&gt;=54,"Old",IF(Bike_Data[[#This Row],[Age]]&lt;30,"Young Adult","Middle Age"))</f>
        <v>Old</v>
      </c>
      <c r="O981" s="5">
        <f t="shared" ca="1" si="15"/>
        <v>29807</v>
      </c>
      <c r="P981" s="2" t="s">
        <v>17</v>
      </c>
    </row>
    <row r="982" spans="1:16" x14ac:dyDescent="0.25">
      <c r="A982">
        <v>26452</v>
      </c>
      <c r="B982" s="2" t="s">
        <v>32</v>
      </c>
      <c r="C982" s="2" t="s">
        <v>34</v>
      </c>
      <c r="D982" s="4">
        <v>50000</v>
      </c>
      <c r="E982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2">
        <v>3</v>
      </c>
      <c r="G982" s="2" t="s">
        <v>29</v>
      </c>
      <c r="H982" s="2" t="s">
        <v>27</v>
      </c>
      <c r="I982" t="s">
        <v>14</v>
      </c>
      <c r="J982">
        <v>2</v>
      </c>
      <c r="K982" t="s">
        <v>37</v>
      </c>
      <c r="L982" s="2" t="s">
        <v>30</v>
      </c>
      <c r="M982" s="4">
        <v>69</v>
      </c>
      <c r="N982" s="4" t="str">
        <f>IF(Bike_Data[[#This Row],[Age]]&gt;=54,"Old",IF(Bike_Data[[#This Row],[Age]]&lt;30,"Young Adult","Middle Age"))</f>
        <v>Old</v>
      </c>
      <c r="O982" s="5">
        <f t="shared" ca="1" si="15"/>
        <v>36271</v>
      </c>
      <c r="P982" s="2" t="s">
        <v>17</v>
      </c>
    </row>
    <row r="983" spans="1:16" x14ac:dyDescent="0.25">
      <c r="A983">
        <v>20380</v>
      </c>
      <c r="B983" s="2" t="s">
        <v>31</v>
      </c>
      <c r="C983" s="2" t="s">
        <v>33</v>
      </c>
      <c r="D983" s="4">
        <v>60000</v>
      </c>
      <c r="E983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83">
        <v>3</v>
      </c>
      <c r="G983" s="2" t="s">
        <v>29</v>
      </c>
      <c r="H983" s="2" t="s">
        <v>27</v>
      </c>
      <c r="I983" t="s">
        <v>14</v>
      </c>
      <c r="J983">
        <v>2</v>
      </c>
      <c r="K983" t="s">
        <v>37</v>
      </c>
      <c r="L983" s="2" t="s">
        <v>30</v>
      </c>
      <c r="M983" s="4">
        <v>69</v>
      </c>
      <c r="N983" s="4" t="str">
        <f>IF(Bike_Data[[#This Row],[Age]]&gt;=54,"Old",IF(Bike_Data[[#This Row],[Age]]&lt;30,"Young Adult","Middle Age"))</f>
        <v>Old</v>
      </c>
      <c r="O983" s="5">
        <f t="shared" ca="1" si="15"/>
        <v>29088</v>
      </c>
      <c r="P983" s="2" t="s">
        <v>17</v>
      </c>
    </row>
    <row r="984" spans="1:16" x14ac:dyDescent="0.25">
      <c r="A984">
        <v>15412</v>
      </c>
      <c r="B984" s="2" t="s">
        <v>31</v>
      </c>
      <c r="C984" s="2" t="s">
        <v>34</v>
      </c>
      <c r="D984" s="4">
        <v>130000</v>
      </c>
      <c r="E984" s="3" t="str">
        <f>IF(Bike_Data[[#This Row],[Income]]&gt;100000,"More than $100000",IF(AND(Bike_Data[[#This Row],[Income]]&gt;=10000, Bike_Data[[#This Row],[Income]]&lt;=50000),"$10000-$50000", "$51000-$100000"))</f>
        <v>More than $100000</v>
      </c>
      <c r="F984">
        <v>2</v>
      </c>
      <c r="G984" s="2" t="s">
        <v>29</v>
      </c>
      <c r="H984" s="2" t="s">
        <v>27</v>
      </c>
      <c r="I984" t="s">
        <v>14</v>
      </c>
      <c r="J984">
        <v>3</v>
      </c>
      <c r="K984" t="s">
        <v>21</v>
      </c>
      <c r="L984" s="2" t="s">
        <v>30</v>
      </c>
      <c r="M984" s="4">
        <v>69</v>
      </c>
      <c r="N984" s="4" t="str">
        <f>IF(Bike_Data[[#This Row],[Age]]&gt;=54,"Old",IF(Bike_Data[[#This Row],[Age]]&lt;30,"Young Adult","Middle Age"))</f>
        <v>Old</v>
      </c>
      <c r="O984" s="5">
        <f t="shared" ca="1" si="15"/>
        <v>34205</v>
      </c>
      <c r="P984" s="2" t="s">
        <v>17</v>
      </c>
    </row>
    <row r="985" spans="1:16" x14ac:dyDescent="0.25">
      <c r="A985">
        <v>20361</v>
      </c>
      <c r="B985" s="2" t="s">
        <v>31</v>
      </c>
      <c r="C985" s="2" t="s">
        <v>34</v>
      </c>
      <c r="D985" s="4">
        <v>50000</v>
      </c>
      <c r="E985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5">
        <v>2</v>
      </c>
      <c r="G985" s="2" t="s">
        <v>29</v>
      </c>
      <c r="H985" s="2" t="s">
        <v>27</v>
      </c>
      <c r="I985" t="s">
        <v>14</v>
      </c>
      <c r="J985">
        <v>2</v>
      </c>
      <c r="K985" t="s">
        <v>22</v>
      </c>
      <c r="L985" s="2" t="s">
        <v>30</v>
      </c>
      <c r="M985" s="4">
        <v>69</v>
      </c>
      <c r="N985" s="4" t="str">
        <f>IF(Bike_Data[[#This Row],[Age]]&gt;=54,"Old",IF(Bike_Data[[#This Row],[Age]]&lt;30,"Young Adult","Middle Age"))</f>
        <v>Old</v>
      </c>
      <c r="O985" s="5">
        <f t="shared" ca="1" si="15"/>
        <v>32260</v>
      </c>
      <c r="P985" s="2" t="s">
        <v>17</v>
      </c>
    </row>
    <row r="986" spans="1:16" x14ac:dyDescent="0.25">
      <c r="A986">
        <v>27994</v>
      </c>
      <c r="B986" s="2" t="s">
        <v>31</v>
      </c>
      <c r="C986" s="2" t="s">
        <v>33</v>
      </c>
      <c r="D986" s="4">
        <v>40000</v>
      </c>
      <c r="E986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6">
        <v>4</v>
      </c>
      <c r="G986" s="2" t="s">
        <v>26</v>
      </c>
      <c r="H986" s="2" t="s">
        <v>20</v>
      </c>
      <c r="I986" t="s">
        <v>14</v>
      </c>
      <c r="J986">
        <v>2</v>
      </c>
      <c r="K986" t="s">
        <v>22</v>
      </c>
      <c r="L986" s="2" t="s">
        <v>30</v>
      </c>
      <c r="M986" s="4">
        <v>69</v>
      </c>
      <c r="N986" s="4" t="str">
        <f>IF(Bike_Data[[#This Row],[Age]]&gt;=54,"Old",IF(Bike_Data[[#This Row],[Age]]&lt;30,"Young Adult","Middle Age"))</f>
        <v>Old</v>
      </c>
      <c r="O986" s="5">
        <f t="shared" ca="1" si="15"/>
        <v>33587</v>
      </c>
      <c r="P986" s="2" t="s">
        <v>17</v>
      </c>
    </row>
    <row r="987" spans="1:16" x14ac:dyDescent="0.25">
      <c r="A987">
        <v>11340</v>
      </c>
      <c r="B987" s="2" t="s">
        <v>31</v>
      </c>
      <c r="C987" s="2" t="s">
        <v>33</v>
      </c>
      <c r="D987" s="4">
        <v>10000</v>
      </c>
      <c r="E987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7">
        <v>1</v>
      </c>
      <c r="G987" s="2" t="s">
        <v>29</v>
      </c>
      <c r="H987" s="2" t="s">
        <v>19</v>
      </c>
      <c r="I987" t="s">
        <v>14</v>
      </c>
      <c r="J987">
        <v>0</v>
      </c>
      <c r="K987" t="s">
        <v>15</v>
      </c>
      <c r="L987" s="2" t="s">
        <v>16</v>
      </c>
      <c r="M987" s="4">
        <v>70</v>
      </c>
      <c r="N987" s="4" t="str">
        <f>IF(Bike_Data[[#This Row],[Age]]&gt;=54,"Old",IF(Bike_Data[[#This Row],[Age]]&lt;30,"Young Adult","Middle Age"))</f>
        <v>Old</v>
      </c>
      <c r="O987" s="5">
        <f t="shared" ca="1" si="15"/>
        <v>30931</v>
      </c>
      <c r="P987" s="2" t="s">
        <v>14</v>
      </c>
    </row>
    <row r="988" spans="1:16" x14ac:dyDescent="0.25">
      <c r="A988">
        <v>15450</v>
      </c>
      <c r="B988" s="2" t="s">
        <v>31</v>
      </c>
      <c r="C988" s="2" t="s">
        <v>34</v>
      </c>
      <c r="D988" s="4">
        <v>10000</v>
      </c>
      <c r="E988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88">
        <v>1</v>
      </c>
      <c r="G988" s="2" t="s">
        <v>29</v>
      </c>
      <c r="H988" s="2" t="s">
        <v>19</v>
      </c>
      <c r="I988" t="s">
        <v>14</v>
      </c>
      <c r="J988">
        <v>0</v>
      </c>
      <c r="K988" t="s">
        <v>15</v>
      </c>
      <c r="L988" s="2" t="s">
        <v>16</v>
      </c>
      <c r="M988" s="4">
        <v>70</v>
      </c>
      <c r="N988" s="4" t="str">
        <f>IF(Bike_Data[[#This Row],[Age]]&gt;=54,"Old",IF(Bike_Data[[#This Row],[Age]]&lt;30,"Young Adult","Middle Age"))</f>
        <v>Old</v>
      </c>
      <c r="O988" s="5">
        <f t="shared" ca="1" si="15"/>
        <v>29409</v>
      </c>
      <c r="P988" s="2" t="s">
        <v>17</v>
      </c>
    </row>
    <row r="989" spans="1:16" x14ac:dyDescent="0.25">
      <c r="A989">
        <v>18847</v>
      </c>
      <c r="B989" s="2" t="s">
        <v>31</v>
      </c>
      <c r="C989" s="2" t="s">
        <v>33</v>
      </c>
      <c r="D989" s="4">
        <v>60000</v>
      </c>
      <c r="E989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89">
        <v>2</v>
      </c>
      <c r="G989" s="2" t="s">
        <v>29</v>
      </c>
      <c r="H989" s="2" t="s">
        <v>27</v>
      </c>
      <c r="I989" t="s">
        <v>14</v>
      </c>
      <c r="J989">
        <v>2</v>
      </c>
      <c r="K989" t="s">
        <v>22</v>
      </c>
      <c r="L989" s="2" t="s">
        <v>30</v>
      </c>
      <c r="M989" s="4">
        <v>70</v>
      </c>
      <c r="N989" s="4" t="str">
        <f>IF(Bike_Data[[#This Row],[Age]]&gt;=54,"Old",IF(Bike_Data[[#This Row],[Age]]&lt;30,"Young Adult","Middle Age"))</f>
        <v>Old</v>
      </c>
      <c r="O989" s="5">
        <f t="shared" ca="1" si="15"/>
        <v>36795</v>
      </c>
      <c r="P989" s="2" t="s">
        <v>17</v>
      </c>
    </row>
    <row r="990" spans="1:16" x14ac:dyDescent="0.25">
      <c r="A990">
        <v>27660</v>
      </c>
      <c r="B990" s="2" t="s">
        <v>31</v>
      </c>
      <c r="C990" s="2" t="s">
        <v>34</v>
      </c>
      <c r="D990" s="4">
        <v>80000</v>
      </c>
      <c r="E990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0">
        <v>4</v>
      </c>
      <c r="G990" s="2" t="s">
        <v>29</v>
      </c>
      <c r="H990" s="2" t="s">
        <v>27</v>
      </c>
      <c r="I990" t="s">
        <v>14</v>
      </c>
      <c r="J990">
        <v>2</v>
      </c>
      <c r="K990" t="s">
        <v>22</v>
      </c>
      <c r="L990" s="2" t="s">
        <v>30</v>
      </c>
      <c r="M990" s="4">
        <v>70</v>
      </c>
      <c r="N990" s="4" t="str">
        <f>IF(Bike_Data[[#This Row],[Age]]&gt;=54,"Old",IF(Bike_Data[[#This Row],[Age]]&lt;30,"Young Adult","Middle Age"))</f>
        <v>Old</v>
      </c>
      <c r="O990" s="5">
        <f t="shared" ca="1" si="15"/>
        <v>36035</v>
      </c>
      <c r="P990" s="2" t="s">
        <v>17</v>
      </c>
    </row>
    <row r="991" spans="1:16" x14ac:dyDescent="0.25">
      <c r="A991">
        <v>28278</v>
      </c>
      <c r="B991" s="2" t="s">
        <v>31</v>
      </c>
      <c r="C991" s="2" t="s">
        <v>34</v>
      </c>
      <c r="D991" s="4">
        <v>50000</v>
      </c>
      <c r="E99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91">
        <v>2</v>
      </c>
      <c r="G991" s="2" t="s">
        <v>29</v>
      </c>
      <c r="H991" s="2" t="s">
        <v>27</v>
      </c>
      <c r="I991" t="s">
        <v>14</v>
      </c>
      <c r="J991">
        <v>2</v>
      </c>
      <c r="K991" t="s">
        <v>22</v>
      </c>
      <c r="L991" s="2" t="s">
        <v>30</v>
      </c>
      <c r="M991" s="4">
        <v>71</v>
      </c>
      <c r="N991" s="4" t="str">
        <f>IF(Bike_Data[[#This Row],[Age]]&gt;=54,"Old",IF(Bike_Data[[#This Row],[Age]]&lt;30,"Young Adult","Middle Age"))</f>
        <v>Old</v>
      </c>
      <c r="O991" s="5">
        <f t="shared" ca="1" si="15"/>
        <v>31647</v>
      </c>
      <c r="P991" s="2" t="s">
        <v>17</v>
      </c>
    </row>
    <row r="992" spans="1:16" x14ac:dyDescent="0.25">
      <c r="A992">
        <v>11275</v>
      </c>
      <c r="B992" s="2" t="s">
        <v>31</v>
      </c>
      <c r="C992" s="2" t="s">
        <v>33</v>
      </c>
      <c r="D992" s="4">
        <v>80000</v>
      </c>
      <c r="E992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2">
        <v>4</v>
      </c>
      <c r="G992" s="2" t="s">
        <v>29</v>
      </c>
      <c r="H992" s="2" t="s">
        <v>27</v>
      </c>
      <c r="I992" t="s">
        <v>14</v>
      </c>
      <c r="J992">
        <v>2</v>
      </c>
      <c r="K992" t="s">
        <v>15</v>
      </c>
      <c r="L992" s="2" t="s">
        <v>30</v>
      </c>
      <c r="M992" s="4">
        <v>72</v>
      </c>
      <c r="N992" s="4" t="str">
        <f>IF(Bike_Data[[#This Row],[Age]]&gt;=54,"Old",IF(Bike_Data[[#This Row],[Age]]&lt;30,"Young Adult","Middle Age"))</f>
        <v>Old</v>
      </c>
      <c r="O992" s="5">
        <f t="shared" ca="1" si="15"/>
        <v>29252</v>
      </c>
      <c r="P992" s="2" t="s">
        <v>14</v>
      </c>
    </row>
    <row r="993" spans="1:16" x14ac:dyDescent="0.25">
      <c r="A993">
        <v>17533</v>
      </c>
      <c r="B993" s="2" t="s">
        <v>31</v>
      </c>
      <c r="C993" s="2" t="s">
        <v>34</v>
      </c>
      <c r="D993" s="4">
        <v>40000</v>
      </c>
      <c r="E993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93">
        <v>3</v>
      </c>
      <c r="G993" s="2" t="s">
        <v>18</v>
      </c>
      <c r="H993" s="2" t="s">
        <v>20</v>
      </c>
      <c r="I993" t="s">
        <v>17</v>
      </c>
      <c r="J993">
        <v>2</v>
      </c>
      <c r="K993" t="s">
        <v>22</v>
      </c>
      <c r="L993" s="2" t="s">
        <v>30</v>
      </c>
      <c r="M993" s="4">
        <v>73</v>
      </c>
      <c r="N993" s="4" t="str">
        <f>IF(Bike_Data[[#This Row],[Age]]&gt;=54,"Old",IF(Bike_Data[[#This Row],[Age]]&lt;30,"Young Adult","Middle Age"))</f>
        <v>Old</v>
      </c>
      <c r="O993" s="5">
        <f t="shared" ca="1" si="15"/>
        <v>28804</v>
      </c>
      <c r="P993" s="2" t="s">
        <v>14</v>
      </c>
    </row>
    <row r="994" spans="1:16" x14ac:dyDescent="0.25">
      <c r="A994">
        <v>11255</v>
      </c>
      <c r="B994" s="2" t="s">
        <v>31</v>
      </c>
      <c r="C994" s="2" t="s">
        <v>34</v>
      </c>
      <c r="D994" s="4">
        <v>70000</v>
      </c>
      <c r="E994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4">
        <v>4</v>
      </c>
      <c r="G994" s="2" t="s">
        <v>29</v>
      </c>
      <c r="H994" s="2" t="s">
        <v>27</v>
      </c>
      <c r="I994" t="s">
        <v>14</v>
      </c>
      <c r="J994">
        <v>2</v>
      </c>
      <c r="K994" t="s">
        <v>22</v>
      </c>
      <c r="L994" s="2" t="s">
        <v>30</v>
      </c>
      <c r="M994" s="4">
        <v>73</v>
      </c>
      <c r="N994" s="4" t="str">
        <f>IF(Bike_Data[[#This Row],[Age]]&gt;=54,"Old",IF(Bike_Data[[#This Row],[Age]]&lt;30,"Young Adult","Middle Age"))</f>
        <v>Old</v>
      </c>
      <c r="O994" s="5">
        <f t="shared" ca="1" si="15"/>
        <v>36066</v>
      </c>
      <c r="P994" s="2" t="s">
        <v>17</v>
      </c>
    </row>
    <row r="995" spans="1:16" x14ac:dyDescent="0.25">
      <c r="A995">
        <v>13415</v>
      </c>
      <c r="B995" s="2" t="s">
        <v>32</v>
      </c>
      <c r="C995" s="2" t="s">
        <v>34</v>
      </c>
      <c r="D995" s="4">
        <v>100000</v>
      </c>
      <c r="E995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5">
        <v>1</v>
      </c>
      <c r="G995" s="2" t="s">
        <v>29</v>
      </c>
      <c r="H995" s="2" t="s">
        <v>27</v>
      </c>
      <c r="I995" t="s">
        <v>14</v>
      </c>
      <c r="J995">
        <v>3</v>
      </c>
      <c r="K995" t="s">
        <v>21</v>
      </c>
      <c r="L995" s="2" t="s">
        <v>30</v>
      </c>
      <c r="M995" s="4">
        <v>73</v>
      </c>
      <c r="N995" s="4" t="str">
        <f>IF(Bike_Data[[#This Row],[Age]]&gt;=54,"Old",IF(Bike_Data[[#This Row],[Age]]&lt;30,"Young Adult","Middle Age"))</f>
        <v>Old</v>
      </c>
      <c r="O995" s="5">
        <f t="shared" ca="1" si="15"/>
        <v>34309</v>
      </c>
      <c r="P995" s="2" t="s">
        <v>14</v>
      </c>
    </row>
    <row r="996" spans="1:16" x14ac:dyDescent="0.25">
      <c r="A996">
        <v>14432</v>
      </c>
      <c r="B996" s="2" t="s">
        <v>32</v>
      </c>
      <c r="C996" s="2" t="s">
        <v>34</v>
      </c>
      <c r="D996" s="4">
        <v>90000</v>
      </c>
      <c r="E996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6">
        <v>4</v>
      </c>
      <c r="G996" s="2" t="s">
        <v>29</v>
      </c>
      <c r="H996" s="2" t="s">
        <v>27</v>
      </c>
      <c r="I996" t="s">
        <v>14</v>
      </c>
      <c r="J996">
        <v>1</v>
      </c>
      <c r="K996" t="s">
        <v>22</v>
      </c>
      <c r="L996" s="2" t="s">
        <v>30</v>
      </c>
      <c r="M996" s="4">
        <v>73</v>
      </c>
      <c r="N996" s="4" t="str">
        <f>IF(Bike_Data[[#This Row],[Age]]&gt;=54,"Old",IF(Bike_Data[[#This Row],[Age]]&lt;30,"Young Adult","Middle Age"))</f>
        <v>Old</v>
      </c>
      <c r="O996" s="5">
        <f t="shared" ca="1" si="15"/>
        <v>31053</v>
      </c>
      <c r="P996" s="2" t="s">
        <v>17</v>
      </c>
    </row>
    <row r="997" spans="1:16" x14ac:dyDescent="0.25">
      <c r="A997">
        <v>18949</v>
      </c>
      <c r="B997" s="2" t="s">
        <v>32</v>
      </c>
      <c r="C997" s="2" t="s">
        <v>34</v>
      </c>
      <c r="D997" s="4">
        <v>70000</v>
      </c>
      <c r="E997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7">
        <v>0</v>
      </c>
      <c r="G997" s="2" t="s">
        <v>29</v>
      </c>
      <c r="H997" s="2" t="s">
        <v>27</v>
      </c>
      <c r="I997" t="s">
        <v>14</v>
      </c>
      <c r="J997">
        <v>2</v>
      </c>
      <c r="K997" t="s">
        <v>22</v>
      </c>
      <c r="L997" s="2" t="s">
        <v>30</v>
      </c>
      <c r="M997" s="4">
        <v>74</v>
      </c>
      <c r="N997" s="4" t="str">
        <f>IF(Bike_Data[[#This Row],[Age]]&gt;=54,"Old",IF(Bike_Data[[#This Row],[Age]]&lt;30,"Young Adult","Middle Age"))</f>
        <v>Old</v>
      </c>
      <c r="O997" s="5">
        <f t="shared" ca="1" si="15"/>
        <v>36316</v>
      </c>
      <c r="P997" s="2" t="s">
        <v>14</v>
      </c>
    </row>
    <row r="998" spans="1:16" x14ac:dyDescent="0.25">
      <c r="A998">
        <v>22931</v>
      </c>
      <c r="B998" s="2" t="s">
        <v>31</v>
      </c>
      <c r="C998" s="2" t="s">
        <v>34</v>
      </c>
      <c r="D998" s="4">
        <v>100000</v>
      </c>
      <c r="E998" s="3" t="str">
        <f>IF(Bike_Data[[#This Row],[Income]]&gt;100000,"More than $100000",IF(AND(Bike_Data[[#This Row],[Income]]&gt;=10000, Bike_Data[[#This Row],[Income]]&lt;=50000),"$10000-$50000", "$51000-$100000"))</f>
        <v>$51000-$100000</v>
      </c>
      <c r="F998">
        <v>5</v>
      </c>
      <c r="G998" s="2" t="s">
        <v>29</v>
      </c>
      <c r="H998" s="2" t="s">
        <v>27</v>
      </c>
      <c r="I998" t="s">
        <v>17</v>
      </c>
      <c r="J998">
        <v>1</v>
      </c>
      <c r="K998" t="s">
        <v>25</v>
      </c>
      <c r="L998" s="2" t="s">
        <v>23</v>
      </c>
      <c r="M998" s="4">
        <v>78</v>
      </c>
      <c r="N998" s="4" t="str">
        <f>IF(Bike_Data[[#This Row],[Age]]&gt;=54,"Old",IF(Bike_Data[[#This Row],[Age]]&lt;30,"Young Adult","Middle Age"))</f>
        <v>Old</v>
      </c>
      <c r="O998" s="5">
        <f t="shared" ca="1" si="15"/>
        <v>31908</v>
      </c>
      <c r="P998" s="2" t="s">
        <v>14</v>
      </c>
    </row>
    <row r="999" spans="1:16" x14ac:dyDescent="0.25">
      <c r="A999">
        <v>18058</v>
      </c>
      <c r="B999" s="2" t="s">
        <v>32</v>
      </c>
      <c r="C999" s="2" t="s">
        <v>33</v>
      </c>
      <c r="D999" s="4">
        <v>20000</v>
      </c>
      <c r="E999" s="3" t="str">
        <f>IF(Bike_Data[[#This Row],[Income]]&gt;100000,"More than $100000",IF(AND(Bike_Data[[#This Row],[Income]]&gt;=10000, Bike_Data[[#This Row],[Income]]&lt;=50000),"$10000-$50000", "$51000-$100000"))</f>
        <v>$10000-$50000</v>
      </c>
      <c r="F999">
        <v>3</v>
      </c>
      <c r="G999" s="2" t="s">
        <v>26</v>
      </c>
      <c r="H999" s="2" t="s">
        <v>13</v>
      </c>
      <c r="I999" t="s">
        <v>14</v>
      </c>
      <c r="J999">
        <v>2</v>
      </c>
      <c r="K999" t="s">
        <v>21</v>
      </c>
      <c r="L999" s="2" t="s">
        <v>30</v>
      </c>
      <c r="M999" s="4">
        <v>78</v>
      </c>
      <c r="N999" s="4" t="str">
        <f>IF(Bike_Data[[#This Row],[Age]]&gt;=54,"Old",IF(Bike_Data[[#This Row],[Age]]&lt;30,"Young Adult","Middle Age"))</f>
        <v>Old</v>
      </c>
      <c r="O999" s="5">
        <f t="shared" ca="1" si="15"/>
        <v>35634</v>
      </c>
      <c r="P999" s="2" t="s">
        <v>17</v>
      </c>
    </row>
    <row r="1000" spans="1:16" x14ac:dyDescent="0.25">
      <c r="A1000">
        <v>11555</v>
      </c>
      <c r="B1000" s="2" t="s">
        <v>31</v>
      </c>
      <c r="C1000" s="2" t="s">
        <v>33</v>
      </c>
      <c r="D1000" s="4">
        <v>40000</v>
      </c>
      <c r="E1000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00">
        <v>1</v>
      </c>
      <c r="G1000" s="2" t="s">
        <v>12</v>
      </c>
      <c r="H1000" s="2" t="s">
        <v>19</v>
      </c>
      <c r="I1000" t="s">
        <v>14</v>
      </c>
      <c r="J1000">
        <v>0</v>
      </c>
      <c r="K1000" t="s">
        <v>15</v>
      </c>
      <c r="L1000" s="2" t="s">
        <v>16</v>
      </c>
      <c r="M1000" s="4">
        <v>80</v>
      </c>
      <c r="N1000" s="4" t="str">
        <f>IF(Bike_Data[[#This Row],[Age]]&gt;=54,"Old",IF(Bike_Data[[#This Row],[Age]]&lt;30,"Young Adult","Middle Age"))</f>
        <v>Old</v>
      </c>
      <c r="O1000" s="5">
        <f t="shared" ca="1" si="15"/>
        <v>26761</v>
      </c>
      <c r="P1000" s="2" t="s">
        <v>17</v>
      </c>
    </row>
    <row r="1001" spans="1:16" x14ac:dyDescent="0.25">
      <c r="A1001">
        <v>15628</v>
      </c>
      <c r="B1001" s="2" t="s">
        <v>31</v>
      </c>
      <c r="C1001" s="2" t="s">
        <v>33</v>
      </c>
      <c r="D1001" s="4">
        <v>40000</v>
      </c>
      <c r="E1001" s="3" t="str">
        <f>IF(Bike_Data[[#This Row],[Income]]&gt;100000,"More than $100000",IF(AND(Bike_Data[[#This Row],[Income]]&gt;=10000, Bike_Data[[#This Row],[Income]]&lt;=50000),"$10000-$50000", "$51000-$100000"))</f>
        <v>$10000-$50000</v>
      </c>
      <c r="F1001">
        <v>1</v>
      </c>
      <c r="G1001" s="2" t="s">
        <v>12</v>
      </c>
      <c r="H1001" s="2" t="s">
        <v>13</v>
      </c>
      <c r="I1001" t="s">
        <v>14</v>
      </c>
      <c r="J1001">
        <v>1</v>
      </c>
      <c r="K1001" t="s">
        <v>15</v>
      </c>
      <c r="L1001" s="2" t="s">
        <v>16</v>
      </c>
      <c r="M1001" s="4">
        <v>89</v>
      </c>
      <c r="N1001" s="4" t="str">
        <f>IF(Bike_Data[[#This Row],[Age]]&gt;=54,"Old",IF(Bike_Data[[#This Row],[Age]]&lt;30,"Young Adult","Middle Age"))</f>
        <v>Old</v>
      </c>
      <c r="O1001" s="5">
        <f t="shared" ca="1" si="15"/>
        <v>34617</v>
      </c>
      <c r="P1001" s="2" t="s">
        <v>17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Saurav Rawat</cp:lastModifiedBy>
  <dcterms:created xsi:type="dcterms:W3CDTF">2022-03-18T02:50:57Z</dcterms:created>
  <dcterms:modified xsi:type="dcterms:W3CDTF">2026-04-10T04:19:03Z</dcterms:modified>
</cp:coreProperties>
</file>